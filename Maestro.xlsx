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D:\1. Inspeccion Labores\"/>
    </mc:Choice>
  </mc:AlternateContent>
  <xr:revisionPtr revIDLastSave="0" documentId="8_{32792284-D2DA-4291-BB6A-3439B403F4C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" i="1" l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</calcChain>
</file>

<file path=xl/sharedStrings.xml><?xml version="1.0" encoding="utf-8"?>
<sst xmlns="http://schemas.openxmlformats.org/spreadsheetml/2006/main" count="2283" uniqueCount="350">
  <si>
    <t>YR_1016_GA9697W</t>
  </si>
  <si>
    <t>YR_1001_GA9817W</t>
  </si>
  <si>
    <t>YR_1016_GA9697E</t>
  </si>
  <si>
    <t>HONGDA LIAN SHAO</t>
  </si>
  <si>
    <t>VS_1015_CM9230N</t>
  </si>
  <si>
    <t>VS_1015_GA9392W</t>
  </si>
  <si>
    <t>VS_1000_GA9400W</t>
  </si>
  <si>
    <t>VS_1015_GA9408W</t>
  </si>
  <si>
    <t>JIN SHAN ANDES</t>
  </si>
  <si>
    <t>June</t>
  </si>
  <si>
    <t>VS_0906_GA9718W</t>
  </si>
  <si>
    <t>VS_0906_GA9718E</t>
  </si>
  <si>
    <t>VS_0906_GA9730W</t>
  </si>
  <si>
    <t>VS_0906_GA9730E</t>
  </si>
  <si>
    <t>VS_0905_GA8858W</t>
  </si>
  <si>
    <t>VS_0905_GA8858E</t>
  </si>
  <si>
    <t>VS_0905_GA8815W</t>
  </si>
  <si>
    <t>VS_0905_GA8815E</t>
  </si>
  <si>
    <t>VS_0905_GA8975W</t>
  </si>
  <si>
    <t>VS_0905_GA8968E</t>
  </si>
  <si>
    <t>VS_0845_RP9478S</t>
  </si>
  <si>
    <t>VS_0865_CM8937S</t>
  </si>
  <si>
    <t>VS_0865_CX00</t>
  </si>
  <si>
    <t>VS_0875_CM8908N</t>
  </si>
  <si>
    <t>VS_0885_GA8881W</t>
  </si>
  <si>
    <t>VS_0885_GA8881E</t>
  </si>
  <si>
    <t>VS_0885_CX00</t>
  </si>
  <si>
    <t>VS_0885_CM8835S</t>
  </si>
  <si>
    <t>VS_0905_CM8988N</t>
  </si>
  <si>
    <t>VS_0905_CX00</t>
  </si>
  <si>
    <t>VS_0925_GA9043W</t>
  </si>
  <si>
    <t>YR_0946_GA9729E</t>
  </si>
  <si>
    <t>YR_0946_GA9714W</t>
  </si>
  <si>
    <t>YR_0966_GA9536E</t>
  </si>
  <si>
    <t>YR_0966_GA9545E</t>
  </si>
  <si>
    <t>YR_0986_GA9679W</t>
  </si>
  <si>
    <t>YR_0986_GA9679E</t>
  </si>
  <si>
    <t>YR_0946_GA9714E</t>
  </si>
  <si>
    <t>YR_0866_RP9524W</t>
  </si>
  <si>
    <t>YR_0876_CM9660S</t>
  </si>
  <si>
    <t>YR_0886_CM9580N</t>
  </si>
  <si>
    <t>YR_0886_FW9596W</t>
  </si>
  <si>
    <t>YR_0906_FW9717E</t>
  </si>
  <si>
    <t>YR_0906_CX00</t>
  </si>
  <si>
    <t>YR_0926_GA9550E</t>
  </si>
  <si>
    <t>VS_0866_GA9331E</t>
  </si>
  <si>
    <t>VS_0906_GA9124E</t>
  </si>
  <si>
    <t>VS_0926_GA9453E</t>
  </si>
  <si>
    <t>VS_0966_GA9335W</t>
  </si>
  <si>
    <t>VS_0966_GA9335E</t>
  </si>
  <si>
    <t>VS_0986_GA9420W</t>
  </si>
  <si>
    <t>VS_0986_GA9377W</t>
  </si>
  <si>
    <t>VS_0986_GA9377E</t>
  </si>
  <si>
    <t>VS_0866_GA9331W</t>
  </si>
  <si>
    <t>VS_0886_GA9217E</t>
  </si>
  <si>
    <t>VS_0826_RP9357S</t>
  </si>
  <si>
    <t>VS_0846_CM9395S</t>
  </si>
  <si>
    <t>VS_0846_CX01E</t>
  </si>
  <si>
    <t>VS_0856_RP9408E</t>
  </si>
  <si>
    <t>VS_0866_CM9367S</t>
  </si>
  <si>
    <t>VS_0866_CM9348E</t>
  </si>
  <si>
    <t>VS_0886_RP9200W</t>
  </si>
  <si>
    <t>VS_0886_GA9217W</t>
  </si>
  <si>
    <t>VS_0906_CM9365S</t>
  </si>
  <si>
    <t>VS_0946_CX01E</t>
  </si>
  <si>
    <t>VS_0946_CM9350S</t>
  </si>
  <si>
    <t>May</t>
  </si>
  <si>
    <t>VS_0885_CM8844N</t>
  </si>
  <si>
    <t>VS_0925_GA9028E</t>
  </si>
  <si>
    <t>VS_0865_RP9478S</t>
  </si>
  <si>
    <t>VS_0885_FW8853W</t>
  </si>
  <si>
    <t>VS_0905_CM8840W</t>
  </si>
  <si>
    <t>VS_0905_GA8975E</t>
  </si>
  <si>
    <t>YR_0946_GA9712W</t>
  </si>
  <si>
    <t>YR_0946_GA9712E</t>
  </si>
  <si>
    <t>YR_0966_GA9541E</t>
  </si>
  <si>
    <t>YR_0886_RP9524W</t>
  </si>
  <si>
    <t>YR_0890_CM9619N</t>
  </si>
  <si>
    <t>YR_0926_GA9550W</t>
  </si>
  <si>
    <t>VS_0966_GA9245W</t>
  </si>
  <si>
    <t>VS_0966_GA9323W</t>
  </si>
  <si>
    <t>VS_0986_GA9421W</t>
  </si>
  <si>
    <t>VS_1000_GA9400E</t>
  </si>
  <si>
    <t>VS_0906_CM9431W</t>
  </si>
  <si>
    <t>VS_0906_GA9325E</t>
  </si>
  <si>
    <t>VS_0906_CM9346E</t>
  </si>
  <si>
    <t>VS_0946_CM9400E</t>
  </si>
  <si>
    <t>VS_1015_GA9392E</t>
  </si>
  <si>
    <t>VS_0846_RP9357S</t>
  </si>
  <si>
    <t>VS_0866_CM9374W</t>
  </si>
  <si>
    <t>VS_0866_CM9349E</t>
  </si>
  <si>
    <t>VS_0866_CX01E</t>
  </si>
  <si>
    <t>VS_0886_FW9262W</t>
  </si>
  <si>
    <t>VS_0906_GA9325W</t>
  </si>
  <si>
    <t>VS_0966_GA9259W</t>
  </si>
  <si>
    <t>April</t>
  </si>
  <si>
    <t>VS_0866_CX01</t>
  </si>
  <si>
    <t>March</t>
  </si>
  <si>
    <t>VS_0905_CM8880W</t>
  </si>
  <si>
    <t>VS_0905_CM8890N</t>
  </si>
  <si>
    <t>YR_0906_CM9729N</t>
  </si>
  <si>
    <t>YR_0926_FW9596W</t>
  </si>
  <si>
    <t>YR_0926_CM9568S</t>
  </si>
  <si>
    <t>VS_0925_GA9043E</t>
  </si>
  <si>
    <t>YR_0946_GA9733E</t>
  </si>
  <si>
    <t>YR_0966_GA9536W</t>
  </si>
  <si>
    <t>YR_1000_GA9817W</t>
  </si>
  <si>
    <t>VS_0946_CM9299E</t>
  </si>
  <si>
    <t>VS_0986_CM9399S</t>
  </si>
  <si>
    <t>YR_0926_GA9538W</t>
  </si>
  <si>
    <t>YR_0926_GA9538E</t>
  </si>
  <si>
    <t>VS_0986_GA9231W</t>
  </si>
  <si>
    <t>February</t>
  </si>
  <si>
    <t>VS_0890_CM8861N</t>
  </si>
  <si>
    <t>VS_0885_RP9478S</t>
  </si>
  <si>
    <t>VS_0905_CM8885E</t>
  </si>
  <si>
    <t>YR_0905_CX00</t>
  </si>
  <si>
    <t>YR_0926_CM9551S</t>
  </si>
  <si>
    <t>VS_0926_CM9568S</t>
  </si>
  <si>
    <t>YR_0906_RP9524W</t>
  </si>
  <si>
    <t>YR_0926_CX00</t>
  </si>
  <si>
    <t>VS_0925_GA9028W</t>
  </si>
  <si>
    <t>VS_0876_CM9323N</t>
  </si>
  <si>
    <t>VS_0886_RP9357S</t>
  </si>
  <si>
    <t>VS_0886_CM9252N</t>
  </si>
  <si>
    <t>Luis Garcia</t>
  </si>
  <si>
    <t xml:space="preserve">Weimar Garcia </t>
  </si>
  <si>
    <t>Oscar Quiroz</t>
  </si>
  <si>
    <t>Guillermo Obregon</t>
  </si>
  <si>
    <t>Juan Hidalgo</t>
  </si>
  <si>
    <t>Cristian Duarte</t>
  </si>
  <si>
    <t>Sebastian Gallego</t>
  </si>
  <si>
    <t>Deider Pérez</t>
  </si>
  <si>
    <t>Luis Gómez</t>
  </si>
  <si>
    <t>Fabian Monsalve</t>
  </si>
  <si>
    <t>VS_0926_GA9453W</t>
  </si>
  <si>
    <t>Juan David López Díaz</t>
  </si>
  <si>
    <t>Edwin Arturo Zuluaga Salazar</t>
  </si>
  <si>
    <t>VS_0966_GA9379W</t>
  </si>
  <si>
    <t>Wilmer Andrés Londoño Basilio</t>
  </si>
  <si>
    <t>Clemente Piña Moreno</t>
  </si>
  <si>
    <t>B</t>
  </si>
  <si>
    <t>Night</t>
  </si>
  <si>
    <t>Cindy Paola Muñoz Cifuentes</t>
  </si>
  <si>
    <t>January</t>
  </si>
  <si>
    <t>A</t>
  </si>
  <si>
    <t>Day</t>
  </si>
  <si>
    <t>Lizeth Johana Hernandez Oliveros</t>
  </si>
  <si>
    <t>Monthly plan / 月度计划</t>
  </si>
  <si>
    <t>Week / 星期</t>
  </si>
  <si>
    <t>Month / 月</t>
  </si>
  <si>
    <t>Day / 天</t>
  </si>
  <si>
    <t>Supervisor / 导师</t>
  </si>
  <si>
    <t>Guard / 警卫</t>
  </si>
  <si>
    <t>Contractor / 承包商</t>
  </si>
  <si>
    <t>Shift / 班</t>
  </si>
  <si>
    <t>Inspector / 检查员</t>
  </si>
  <si>
    <t>Levantamiento topográfico</t>
  </si>
  <si>
    <t>Balastreo</t>
  </si>
  <si>
    <t>Bombeo auxiliar</t>
  </si>
  <si>
    <t>Cartografía</t>
  </si>
  <si>
    <t xml:space="preserve">Calafateo </t>
  </si>
  <si>
    <t>Cargue de explosivo</t>
  </si>
  <si>
    <t>Control de pasivos</t>
  </si>
  <si>
    <t>Desabombe</t>
  </si>
  <si>
    <t>Desquinche</t>
  </si>
  <si>
    <t>Deslode</t>
  </si>
  <si>
    <t>Emboquille</t>
  </si>
  <si>
    <t>Ensanche</t>
  </si>
  <si>
    <t>Instalación autoperforantes</t>
  </si>
  <si>
    <t>Instalación de anclas de servicios</t>
  </si>
  <si>
    <t>Instalación cinta strap</t>
  </si>
  <si>
    <t>Instalación ventilador</t>
  </si>
  <si>
    <t>Instalación tuberia</t>
  </si>
  <si>
    <t>Instalación cableado eléctrico</t>
  </si>
  <si>
    <t>Inyección de pernos</t>
  </si>
  <si>
    <t>Lanzado frente de avance</t>
  </si>
  <si>
    <t>Lanzado pasivos</t>
  </si>
  <si>
    <t>Lanzado intersección</t>
  </si>
  <si>
    <t>Limpieza de mineral</t>
  </si>
  <si>
    <t>Limpieza de estéril</t>
  </si>
  <si>
    <t>Limpieza de pata</t>
  </si>
  <si>
    <t>Muestreo geológico</t>
  </si>
  <si>
    <t>Perforación Galería</t>
  </si>
  <si>
    <t>Perforación Crucero</t>
  </si>
  <si>
    <t>Perforación Camara</t>
  </si>
  <si>
    <t>Perforación Food Wall</t>
  </si>
  <si>
    <t>Perforación Rampa</t>
  </si>
  <si>
    <t>Perforación Realce</t>
  </si>
  <si>
    <t>Perforación Despate</t>
  </si>
  <si>
    <t>Perforación nicho</t>
  </si>
  <si>
    <t>Perforación Jackleg</t>
  </si>
  <si>
    <t>Predril</t>
  </si>
  <si>
    <t>Reperforación</t>
  </si>
  <si>
    <t>Sin actividad</t>
  </si>
  <si>
    <t>Soporte</t>
  </si>
  <si>
    <t>Soporte tipo I</t>
  </si>
  <si>
    <t>Soporte Tipo II</t>
  </si>
  <si>
    <t>SoporteTipo III</t>
  </si>
  <si>
    <t>Soporte Tipo IV</t>
  </si>
  <si>
    <t>Soporte Tipo V</t>
  </si>
  <si>
    <t>Vaceado de losa</t>
  </si>
  <si>
    <t>Ventilación</t>
  </si>
  <si>
    <t>VS_0906_GA9426W</t>
  </si>
  <si>
    <t>VS_0866_CM9368S</t>
  </si>
  <si>
    <t>VS_0846_CM9380E</t>
  </si>
  <si>
    <t>VS_0836_FW9336W</t>
  </si>
  <si>
    <t>VS_0866_CM9390W</t>
  </si>
  <si>
    <t>VS_0855_CM9447S</t>
  </si>
  <si>
    <t>YR_0886_CM9542S</t>
  </si>
  <si>
    <t>YR_0906_GA9730W</t>
  </si>
  <si>
    <t>YR_0906_GA9718E</t>
  </si>
  <si>
    <t>YR_0906_GA9718W</t>
  </si>
  <si>
    <t>YR_0906_GA9730E</t>
  </si>
  <si>
    <t>YR_0886_CX00</t>
  </si>
  <si>
    <t>YR_0876_CM9664W</t>
  </si>
  <si>
    <t>YR_0846_RP9524W</t>
  </si>
  <si>
    <t>VS_0865_CM8950W</t>
  </si>
  <si>
    <t>July</t>
  </si>
  <si>
    <t>VS_0946_GA9140E</t>
  </si>
  <si>
    <t>VS_0946_GA9140W</t>
  </si>
  <si>
    <t>VS_0946_GA9194E</t>
  </si>
  <si>
    <t>VS_0946_GA9194W</t>
  </si>
  <si>
    <t>VS_0946_GA9389E</t>
  </si>
  <si>
    <t>VS_0946_GA9389W</t>
  </si>
  <si>
    <t>VS_0906_GA9428E</t>
  </si>
  <si>
    <t>VS_0906_GA9428W</t>
  </si>
  <si>
    <t>VS_0926_CM9503E</t>
  </si>
  <si>
    <t>VS_0855_CM9465S</t>
  </si>
  <si>
    <t>VS_0865_GA8976E</t>
  </si>
  <si>
    <t>VS_0865_GA8976W</t>
  </si>
  <si>
    <t>YR_0966_CM9554W</t>
  </si>
  <si>
    <t>YR_0866_FW9715E</t>
  </si>
  <si>
    <t>VS_0965_CM8940S</t>
  </si>
  <si>
    <t>VS_0905_CM8798S</t>
  </si>
  <si>
    <t>VS_0885_CM8853W</t>
  </si>
  <si>
    <t>Andrea Rosas</t>
  </si>
  <si>
    <t>Camilo Arias</t>
  </si>
  <si>
    <t>Abel Silva</t>
  </si>
  <si>
    <t>Jenesis Llanos</t>
  </si>
  <si>
    <t>Carlos Polo</t>
  </si>
  <si>
    <t>August</t>
  </si>
  <si>
    <t>VS_1000_GA9229W</t>
  </si>
  <si>
    <t>VS_1015_CM9418S</t>
  </si>
  <si>
    <t>VS_0926_CM9563W</t>
  </si>
  <si>
    <t>VS_0866_CM9423E</t>
  </si>
  <si>
    <t>VS_0850_CM9488S</t>
  </si>
  <si>
    <t>YR_0946_CM9557S</t>
  </si>
  <si>
    <t>YR_0886_CM9542W</t>
  </si>
  <si>
    <t>YR_0866_CM9736N</t>
  </si>
  <si>
    <t>VS_0865_CM8887E</t>
  </si>
  <si>
    <t>VS_0855_RP8964E</t>
  </si>
  <si>
    <t>3.3 x 4.0</t>
  </si>
  <si>
    <t>4.5 x 4.3</t>
  </si>
  <si>
    <t>5.0 x 5.0</t>
  </si>
  <si>
    <t>7.0 x 7.5</t>
  </si>
  <si>
    <t>6.0 x 5.0</t>
  </si>
  <si>
    <t>Size [m]</t>
  </si>
  <si>
    <t>Meters Plan [m] / 平面图 [米]</t>
  </si>
  <si>
    <t>7.0 x 6.0</t>
  </si>
  <si>
    <t>10.0 x 7.0</t>
  </si>
  <si>
    <t>Leonardo Montes</t>
  </si>
  <si>
    <t>C</t>
  </si>
  <si>
    <t>Parado por geología</t>
  </si>
  <si>
    <t>Sin acceso por carga acumulada</t>
  </si>
  <si>
    <t>La labor está inundada</t>
  </si>
  <si>
    <t>La labor no cuenta con ventilación</t>
  </si>
  <si>
    <t>La labor no se ha emboquillado</t>
  </si>
  <si>
    <t>Frente parado por decisiones técnicas</t>
  </si>
  <si>
    <t>La labor pasa a fase de explotación</t>
  </si>
  <si>
    <t>Actividad / 活动</t>
  </si>
  <si>
    <t>Finality / 目的</t>
  </si>
  <si>
    <t>Ore / 矿石</t>
  </si>
  <si>
    <t>Ventilation chamber / 通风室</t>
  </si>
  <si>
    <t>Access / 使用权</t>
  </si>
  <si>
    <t>Borehole chamber / 钻孔室</t>
  </si>
  <si>
    <t>Ramp conecction / 坡道连接</t>
  </si>
  <si>
    <t>Exploration drilling rig / 勘探钻井平台</t>
  </si>
  <si>
    <t>Sump type B / B型油底壳</t>
  </si>
  <si>
    <t>Footwall / 墙底</t>
  </si>
  <si>
    <t>Ramp / 坡道</t>
  </si>
  <si>
    <t>Ramp by pass / 匝道绕行</t>
  </si>
  <si>
    <t>Workshop Chamber / 工作坊</t>
  </si>
  <si>
    <t>Sump type A1 / A1型油底壳</t>
  </si>
  <si>
    <t>Active / 积极的</t>
  </si>
  <si>
    <t>Duver Gómez</t>
  </si>
  <si>
    <t>Access to San Antonio / 通往圣安东尼奥的通道</t>
  </si>
  <si>
    <t>Access to Athenea / 通往雅典娜的通道</t>
  </si>
  <si>
    <t xml:space="preserve">Borehole chamber / 钻孔室 </t>
  </si>
  <si>
    <t>Electrical substation / 变电站</t>
  </si>
  <si>
    <t xml:space="preserve">To improve stope production / 提高采场产量 </t>
  </si>
  <si>
    <t xml:space="preserve">Access / 通道 </t>
  </si>
  <si>
    <t xml:space="preserve">Sump type B / B型集水坑 </t>
  </si>
  <si>
    <t xml:space="preserve">Access and ventilation RB infraestructure / RB型通风基础设施通道和通风 </t>
  </si>
  <si>
    <t>Connection between levels / 楼层间连接</t>
  </si>
  <si>
    <t>Access / 通道</t>
  </si>
  <si>
    <t>Ramp by pass / 旁路坡道</t>
  </si>
  <si>
    <t>Sump type B / B型集水坑</t>
  </si>
  <si>
    <t>Footwal / 人行道</t>
  </si>
  <si>
    <t>Workshop Chamber / 车间</t>
  </si>
  <si>
    <t>conecction with / 连接</t>
  </si>
  <si>
    <t>September</t>
  </si>
  <si>
    <t>VS_0946_GA9157E</t>
  </si>
  <si>
    <t>VS_0946_GA9115W</t>
  </si>
  <si>
    <t>VS_0946_GA9360W</t>
  </si>
  <si>
    <t>VS_0846_GA9328E</t>
  </si>
  <si>
    <t>VS_0846_GA9328W</t>
  </si>
  <si>
    <t>YR_0926_GA9734E</t>
  </si>
  <si>
    <t>VS_0966_CM9244W</t>
  </si>
  <si>
    <t>VS_0926_CM9436W</t>
  </si>
  <si>
    <t>VS_0826_CX01E</t>
  </si>
  <si>
    <t>VS_0806_RP9357S</t>
  </si>
  <si>
    <t>VS_0826_CM9376S</t>
  </si>
  <si>
    <t>YR_0906_GA9711W</t>
  </si>
  <si>
    <t>YR_0906_GA9711E</t>
  </si>
  <si>
    <t>YR_0886_GA9544E</t>
  </si>
  <si>
    <t>YR_0886_GA9217E</t>
  </si>
  <si>
    <t>VS_0885_GA8971E</t>
  </si>
  <si>
    <t>YR_0846_RP9594W</t>
  </si>
  <si>
    <t>YR_0826_RP9524W</t>
  </si>
  <si>
    <t>YR_0866_CX00</t>
  </si>
  <si>
    <t>VS_0905_CM8720S</t>
  </si>
  <si>
    <t>VS_0845_CX00</t>
  </si>
  <si>
    <t>VS_0845_CM8908S</t>
  </si>
  <si>
    <t>VS_0825_RP9478S</t>
  </si>
  <si>
    <t>VS_0855_CM8970N</t>
  </si>
  <si>
    <t>Looking for Split / 寻找 Split</t>
  </si>
  <si>
    <t>Month</t>
  </si>
  <si>
    <t>Contractor</t>
  </si>
  <si>
    <t>OPERACION MINA</t>
  </si>
  <si>
    <t>OPERACIÓN MINA</t>
  </si>
  <si>
    <t>Kevin Aleyzer Villa Garzon</t>
  </si>
  <si>
    <t>Juan Sebastian Castro Moreno</t>
  </si>
  <si>
    <t>Andres Felipe Pinto Chapuel</t>
  </si>
  <si>
    <t>Zamyr Saddam Laiseca Lazaro</t>
  </si>
  <si>
    <t>Samuel Emiro Alvarez Amaya</t>
  </si>
  <si>
    <t>Carlos Aurelio Reyes Perez</t>
  </si>
  <si>
    <t>Julian Humberto Fernandez Niño</t>
  </si>
  <si>
    <t>Oscar Mario Benjumea Zuluaga</t>
  </si>
  <si>
    <t>Hernan Dario Santiago Alvarez</t>
  </si>
  <si>
    <t xml:space="preserve">Haryd Raul Abuchaibe Correa </t>
  </si>
  <si>
    <t>Nestor Dionisio Serrano Martinez</t>
  </si>
  <si>
    <t>VS_1215_GA9316E</t>
  </si>
  <si>
    <t>VS_1215_GA9316W</t>
  </si>
  <si>
    <t>VS_1000_GA9056W</t>
  </si>
  <si>
    <t>VS_0925_GA8806E</t>
  </si>
  <si>
    <t>VS_1270_CM9225W</t>
  </si>
  <si>
    <t>VS_1125_RP9057W</t>
  </si>
  <si>
    <t>Level / 等级</t>
  </si>
  <si>
    <t>System / 系统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</si>
</sst>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0"/>
      <name val="Calibri"/>
      <family val="2"/>
    </font>
    <font>
      <sz val="11"/>
      <color theme="0"/>
      <name val="Calibri"/>
      <family val="2"/>
    </font>
    <font>
      <sz val="8.5"/>
      <color rgb="FF000000"/>
      <name val="Aptos"/>
      <family val="2"/>
    </font>
    <font>
      <sz val="8"/>
      <name val="Calibri"/>
      <family val="2"/>
      <scheme val="minor"/>
    </font>
    <font>
      <sz val="8"/>
      <color rgb="FF000000"/>
      <name val="Aptos"/>
      <family val="2"/>
    </font>
    <font>
      <sz val="7"/>
      <color rgb="FF000000"/>
      <name val="Aptos"/>
      <family val="2"/>
    </font>
    <font>
      <b/>
      <sz val="8"/>
      <color rgb="FF000000"/>
      <name val="Aptos"/>
      <family val="2"/>
    </font>
    <font>
      <b/>
      <sz val="7"/>
      <color rgb="FF000000"/>
      <name val="Aptos"/>
      <family val="2"/>
    </font>
    <font>
      <b/>
      <sz val="8.5"/>
      <color rgb="FF000000"/>
      <name val="Aptos"/>
      <family val="2"/>
    </font>
    <font>
      <b/>
      <sz val="9"/>
      <color rgb="FF000000"/>
      <name val="Aptos"/>
      <family val="2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/>
        <bgColor theme="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14" fontId="0" fillId="0" borderId="0" xfId="0" applyNumberFormat="1"/>
    <xf numFmtId="0" fontId="2" fillId="2" borderId="0" xfId="0" applyFont="1" applyFill="1"/>
    <xf numFmtId="0" fontId="1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horizontal="center" vertical="center" wrapText="1" readingOrder="1"/>
    </xf>
    <xf numFmtId="0" fontId="7" fillId="0" borderId="0" xfId="0" applyFont="1" applyAlignment="1">
      <alignment horizontal="center" vertical="center" wrapText="1" readingOrder="1"/>
    </xf>
    <xf numFmtId="0" fontId="8" fillId="0" borderId="0" xfId="0" applyFont="1" applyAlignment="1">
      <alignment horizontal="center" vertical="center" readingOrder="1"/>
    </xf>
    <xf numFmtId="0" fontId="8" fillId="0" borderId="0" xfId="0" applyFont="1" applyAlignment="1">
      <alignment horizontal="center" vertical="center" wrapText="1" readingOrder="1"/>
    </xf>
    <xf numFmtId="0" fontId="9" fillId="0" borderId="0" xfId="0" applyFont="1" applyAlignment="1">
      <alignment horizontal="center" vertical="center" wrapText="1" readingOrder="1"/>
    </xf>
    <xf numFmtId="0" fontId="10" fillId="0" borderId="0" xfId="0" applyFont="1" applyAlignment="1">
      <alignment horizontal="center" vertical="center" wrapText="1" readingOrder="1"/>
    </xf>
    <xf numFmtId="0" fontId="11" fillId="0" borderId="0" xfId="0" applyFont="1" applyAlignment="1">
      <alignment horizontal="center" vertical="center" wrapText="1" readingOrder="1"/>
    </xf>
    <xf numFmtId="0" fontId="12" fillId="0" borderId="0" xfId="0" applyFont="1" applyAlignment="1">
      <alignment horizontal="center" vertical="center" wrapText="1" readingOrder="1"/>
    </xf>
    <xf numFmtId="0" fontId="13" fillId="3" borderId="1" xfId="0" applyFont="1" applyFill="1" applyBorder="1"/>
    <xf numFmtId="0" fontId="13" fillId="3" borderId="1" xfId="0" applyFont="1" applyFill="1" applyBorder="1" applyAlignment="1">
      <alignment horizontal="center"/>
    </xf>
    <xf numFmtId="0" fontId="13" fillId="3" borderId="2" xfId="0" applyFont="1" applyFill="1" applyBorder="1"/>
    <xf numFmtId="0" fontId="13" fillId="3" borderId="2" xfId="0" applyFont="1" applyFill="1" applyBorder="1" applyAlignment="1">
      <alignment horizontal="center"/>
    </xf>
    <xf numFmtId="0" fontId="13" fillId="3" borderId="3" xfId="0" applyFont="1" applyFill="1" applyBorder="1"/>
  </cellXfs>
  <cellStyles count="1">
    <cellStyle name="Normal" xfId="0" builtinId="0"/>
  </cellStyles>
  <dxfs count="22"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numFmt numFmtId="19" formatCode="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439787B-8AF9-437A-ACA3-9AE721EC9057}" name="Table1" displayName="Table1" ref="C1:C8" totalsRowShown="0" headerRowDxfId="21">
  <autoFilter ref="C1:C8" xr:uid="{70DB07E2-C002-4DE0-B33B-D15BCFD1C0FD}"/>
  <tableColumns count="1">
    <tableColumn id="1" xr3:uid="{144D0974-502C-47C7-ACBE-1D9AF36F72AF}" name="Inspector / 检查员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DAB2EE4-CE01-46C9-9FD8-0A4603DCE229}" name="Table2" displayName="Table2" ref="E1:E3" totalsRowShown="0" headerRowDxfId="20" dataDxfId="19">
  <autoFilter ref="E1:E3" xr:uid="{08120ED6-A344-42E4-99F3-B028DE51A254}"/>
  <tableColumns count="1">
    <tableColumn id="1" xr3:uid="{46527FCD-D912-4257-9D59-7A1BE52E90D5}" name="Shift / 班" dataDxfId="1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3090CE9-5A50-4B9C-B628-1780F2665F2D}" name="Table3" displayName="Table3" ref="G1:G4" totalsRowShown="0" headerRowDxfId="17">
  <autoFilter ref="G1:G4" xr:uid="{C6EFD98B-196E-472D-8C2A-4624785D0DA4}"/>
  <tableColumns count="1">
    <tableColumn id="1" xr3:uid="{74834B83-2A2A-493A-8306-0158856DB1BA}" name="Contractor / 承包商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12BA50-54AE-4C7A-83D1-B6B4A62C0B12}" name="Table4" displayName="Table4" ref="I1:I4" totalsRowShown="0" headerRowDxfId="16" dataDxfId="15">
  <autoFilter ref="I1:I4" xr:uid="{D849C58B-CB47-46D6-9253-546ADD1FD233}"/>
  <tableColumns count="1">
    <tableColumn id="1" xr3:uid="{6C5A0638-B5EF-495E-B6F0-4C710DF21422}" name="Guard / 警卫" dataDxfId="1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E4229F-B7AF-4171-AEBC-9ED5501D1C39}" name="Table5" displayName="Table5" ref="K1:K31" totalsRowShown="0" headerRowDxfId="13" dataDxfId="12">
  <autoFilter ref="K1:K31" xr:uid="{3C40DFAE-BB38-4F10-8FAD-3B5403245976}"/>
  <tableColumns count="1">
    <tableColumn id="1" xr3:uid="{8E13DC40-D66E-4558-A21A-B2F38072C8CD}" name="Supervisor / 导师" dataDxfId="1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E73902A-3F11-4486-8DDF-A75DAFF5B881}" name="Table6" displayName="Table6" ref="M1:O305" totalsRowShown="0" headerRowDxfId="10">
  <autoFilter ref="M1:O305" xr:uid="{5772E2E4-9C53-439A-8D10-38CF55306BE8}"/>
  <tableColumns count="3">
    <tableColumn id="1" xr3:uid="{F9010FA5-A011-4788-B978-6D7250B5E4AB}" name="Day / 天" dataDxfId="9"/>
    <tableColumn id="2" xr3:uid="{E9AD6F2F-340D-4575-B951-5A207662E8F2}" name="Month / 月"/>
    <tableColumn id="3" xr3:uid="{4F2EF4C3-E498-40A6-804A-C95E61ADD1E3}" name="Week / 星期" dataDxfId="8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22563B3-A5D8-4758-B0C1-7BFE0EEA4992}" name="Table8" displayName="Table8" ref="A1:A54" totalsRowShown="0" headerRowDxfId="7">
  <autoFilter ref="A1:A54" xr:uid="{A22563B3-A5D8-4758-B0C1-7BFE0EEA4992}"/>
  <tableColumns count="1">
    <tableColumn id="1" xr3:uid="{4901CBE7-8E37-4469-A963-28C214C7ADA2}" name="Actividad / 活动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7014ABDD-3CB7-4DB1-B29E-4860A5A3B0AD}" name="Table11" displayName="Table11" ref="Q1:Y550" totalsRowShown="0" headerRowDxfId="3" headerRowBorderDxfId="5" tableBorderDxfId="6">
  <autoFilter ref="Q1:Y550" xr:uid="{7014ABDD-3CB7-4DB1-B29E-4860A5A3B0AD}"/>
  <tableColumns count="9">
    <tableColumn id="1" xr3:uid="{B0BE16FF-146C-430E-A5C8-55D55C451E3F}" name="Month"/>
    <tableColumn id="2" xr3:uid="{C67B39BD-D9BC-40C8-B3AD-B3E6285C084E}" name="Contractor"/>
    <tableColumn id="3" xr3:uid="{AAAFCD57-87D8-46AE-A7E9-B54AD2747645}" name="System / 系统" dataDxfId="2">
      <calculatedColumnFormula>MID(Table11[[#This Row],[Monthly plan / 月度计划]],1,2)</calculatedColumnFormula>
    </tableColumn>
    <tableColumn id="4" xr3:uid="{6E15914C-A773-4DC5-82D5-B7B9DB523894}" name="Level / 等级" dataDxfId="0">
      <calculatedColumnFormula>MID(Table11[[#This Row],[Monthly plan / 月度计划]],4,4)</calculatedColumnFormula>
    </tableColumn>
    <tableColumn id="5" xr3:uid="{A262F194-F857-488F-B21E-5D3D8CEC2D39}" name="Monthly plan / 月度计划" dataDxfId="1"/>
    <tableColumn id="6" xr3:uid="{CDE04CEA-5675-4362-BAAE-7B1FD9E51E67}" name="Size [m]"/>
    <tableColumn id="7" xr3:uid="{AFFBFB5F-144C-437F-A0DA-AE2CB5A3A74D}" name="Meters Plan [m] / 平面图 [米]"/>
    <tableColumn id="8" xr3:uid="{BF909AB8-E684-4EF0-BCBF-07EB6B1A4C4C}" name="Finality / 目的" dataDxfId="4"/>
    <tableColumn id="9" xr3:uid="{F006CBFE-FDA5-4B62-8C56-37E82B0A4A08}" name="Active / 积极的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B571"/>
  <sheetViews>
    <sheetView tabSelected="1" zoomScaleNormal="100" workbookViewId="0">
      <selection activeCell="W8" sqref="W8"/>
    </sheetView>
  </sheetViews>
  <sheetFormatPr defaultRowHeight="14.4" x14ac:dyDescent="0.3"/>
  <cols>
    <col min="1" max="1" width="32.109375" customWidth="1"/>
    <col min="2" max="2" width="3.33203125" customWidth="1"/>
    <col min="3" max="3" width="28.6640625" bestFit="1" customWidth="1"/>
    <col min="5" max="5" width="13.21875" bestFit="1" customWidth="1"/>
    <col min="7" max="7" width="22.77734375" bestFit="1" customWidth="1"/>
    <col min="9" max="9" width="14.21875" bestFit="1" customWidth="1"/>
    <col min="11" max="11" width="29.44140625" bestFit="1" customWidth="1"/>
    <col min="13" max="13" width="10.5546875" bestFit="1" customWidth="1"/>
    <col min="14" max="14" width="12.88671875" bestFit="1" customWidth="1"/>
    <col min="15" max="15" width="14" bestFit="1" customWidth="1"/>
    <col min="17" max="17" width="9.77734375" bestFit="1" customWidth="1"/>
    <col min="18" max="18" width="18" bestFit="1" customWidth="1"/>
    <col min="19" max="19" width="18" style="1" customWidth="1"/>
    <col min="20" max="20" width="13.109375" style="1" customWidth="1"/>
    <col min="21" max="21" width="24.33203125" style="1" customWidth="1"/>
    <col min="22" max="22" width="9.5546875" customWidth="1"/>
    <col min="23" max="23" width="28.21875" customWidth="1"/>
    <col min="24" max="24" width="74.109375" style="1" customWidth="1"/>
    <col min="25" max="25" width="16.109375" customWidth="1"/>
    <col min="28" max="28" width="45.21875" customWidth="1"/>
    <col min="29" max="29" width="30.77734375" customWidth="1"/>
  </cols>
  <sheetData>
    <row r="1" spans="1:25" x14ac:dyDescent="0.3">
      <c r="A1" s="8" t="s">
        <v>270</v>
      </c>
      <c r="C1" s="6" t="s">
        <v>156</v>
      </c>
      <c r="E1" s="6" t="s">
        <v>155</v>
      </c>
      <c r="G1" s="6" t="s">
        <v>154</v>
      </c>
      <c r="I1" s="7" t="s">
        <v>153</v>
      </c>
      <c r="K1" s="6" t="s">
        <v>152</v>
      </c>
      <c r="M1" s="5" t="s">
        <v>151</v>
      </c>
      <c r="N1" s="5" t="s">
        <v>150</v>
      </c>
      <c r="O1" s="5" t="s">
        <v>149</v>
      </c>
      <c r="Q1" s="17" t="s">
        <v>327</v>
      </c>
      <c r="R1" s="17" t="s">
        <v>328</v>
      </c>
      <c r="S1" s="18" t="s">
        <v>349</v>
      </c>
      <c r="T1" s="18" t="s">
        <v>348</v>
      </c>
      <c r="U1" s="18" t="s">
        <v>148</v>
      </c>
      <c r="V1" s="19" t="s">
        <v>257</v>
      </c>
      <c r="W1" s="19" t="s">
        <v>258</v>
      </c>
      <c r="X1" s="20" t="s">
        <v>271</v>
      </c>
      <c r="Y1" s="21" t="s">
        <v>284</v>
      </c>
    </row>
    <row r="2" spans="1:25" x14ac:dyDescent="0.3">
      <c r="A2" t="s">
        <v>157</v>
      </c>
      <c r="C2" t="s">
        <v>147</v>
      </c>
      <c r="E2" s="2" t="s">
        <v>146</v>
      </c>
      <c r="G2" t="s">
        <v>8</v>
      </c>
      <c r="I2" s="2" t="s">
        <v>145</v>
      </c>
      <c r="K2" s="4" t="s">
        <v>8</v>
      </c>
      <c r="M2" s="3">
        <v>46023</v>
      </c>
      <c r="N2">
        <v>1</v>
      </c>
      <c r="O2">
        <v>1</v>
      </c>
      <c r="Q2" t="s">
        <v>144</v>
      </c>
      <c r="R2" t="s">
        <v>8</v>
      </c>
      <c r="S2" s="1" t="str">
        <f>MID(Table11[[#This Row],[Monthly plan / 月度计划]],1,2)</f>
        <v>VS</v>
      </c>
      <c r="T2" s="1" t="str">
        <f>MID(Table11[[#This Row],[Monthly plan / 月度计划]],4,4)</f>
        <v>0986</v>
      </c>
      <c r="U2" s="1" t="s">
        <v>81</v>
      </c>
      <c r="Y2" t="b">
        <v>0</v>
      </c>
    </row>
    <row r="3" spans="1:25" x14ac:dyDescent="0.3">
      <c r="A3" s="2" t="s">
        <v>158</v>
      </c>
      <c r="C3" t="s">
        <v>143</v>
      </c>
      <c r="E3" s="2" t="s">
        <v>142</v>
      </c>
      <c r="G3" t="s">
        <v>3</v>
      </c>
      <c r="I3" s="2" t="s">
        <v>141</v>
      </c>
      <c r="K3" s="2" t="s">
        <v>240</v>
      </c>
      <c r="M3" s="3">
        <v>46024</v>
      </c>
      <c r="N3">
        <v>1</v>
      </c>
      <c r="O3">
        <v>1</v>
      </c>
      <c r="Q3" t="s">
        <v>144</v>
      </c>
      <c r="R3" t="s">
        <v>8</v>
      </c>
      <c r="S3" s="1" t="str">
        <f>MID(Table11[[#This Row],[Monthly plan / 月度计划]],1,2)</f>
        <v>VS</v>
      </c>
      <c r="T3" s="1" t="str">
        <f>MID(Table11[[#This Row],[Monthly plan / 月度计划]],4,4)</f>
        <v>0966</v>
      </c>
      <c r="U3" s="1" t="s">
        <v>80</v>
      </c>
      <c r="Y3" t="b">
        <v>0</v>
      </c>
    </row>
    <row r="4" spans="1:25" x14ac:dyDescent="0.3">
      <c r="A4" s="2" t="s">
        <v>159</v>
      </c>
      <c r="C4" t="s">
        <v>236</v>
      </c>
      <c r="G4" t="s">
        <v>329</v>
      </c>
      <c r="I4" s="2" t="s">
        <v>262</v>
      </c>
      <c r="K4" s="2" t="s">
        <v>140</v>
      </c>
      <c r="M4" s="3">
        <v>46025</v>
      </c>
      <c r="N4">
        <v>1</v>
      </c>
      <c r="O4">
        <v>1</v>
      </c>
      <c r="Q4" t="s">
        <v>144</v>
      </c>
      <c r="R4" t="s">
        <v>8</v>
      </c>
      <c r="S4" s="1" t="str">
        <f>MID(Table11[[#This Row],[Monthly plan / 月度计划]],1,2)</f>
        <v>VS</v>
      </c>
      <c r="T4" s="1" t="str">
        <f>MID(Table11[[#This Row],[Monthly plan / 月度计划]],4,4)</f>
        <v>0966</v>
      </c>
      <c r="U4" s="1" t="s">
        <v>138</v>
      </c>
      <c r="Y4" t="b">
        <v>0</v>
      </c>
    </row>
    <row r="5" spans="1:25" x14ac:dyDescent="0.3">
      <c r="A5" t="s">
        <v>160</v>
      </c>
      <c r="C5" t="s">
        <v>237</v>
      </c>
      <c r="K5" s="2" t="s">
        <v>139</v>
      </c>
      <c r="M5" s="3">
        <v>46026</v>
      </c>
      <c r="N5">
        <v>1</v>
      </c>
      <c r="O5">
        <v>1</v>
      </c>
      <c r="Q5" t="s">
        <v>144</v>
      </c>
      <c r="R5" t="s">
        <v>8</v>
      </c>
      <c r="S5" s="1" t="str">
        <f>MID(Table11[[#This Row],[Monthly plan / 月度计划]],1,2)</f>
        <v>VS</v>
      </c>
      <c r="T5" s="1" t="str">
        <f>MID(Table11[[#This Row],[Monthly plan / 月度计划]],4,4)</f>
        <v>0966</v>
      </c>
      <c r="U5" s="1" t="s">
        <v>79</v>
      </c>
      <c r="Y5" t="b">
        <v>0</v>
      </c>
    </row>
    <row r="6" spans="1:25" x14ac:dyDescent="0.3">
      <c r="A6" s="2" t="s">
        <v>161</v>
      </c>
      <c r="C6" t="s">
        <v>238</v>
      </c>
      <c r="K6" s="2" t="s">
        <v>137</v>
      </c>
      <c r="M6" s="3">
        <v>46027</v>
      </c>
      <c r="N6">
        <v>1</v>
      </c>
      <c r="O6">
        <v>1</v>
      </c>
      <c r="Q6" t="s">
        <v>144</v>
      </c>
      <c r="R6" t="s">
        <v>8</v>
      </c>
      <c r="S6" s="1" t="str">
        <f>MID(Table11[[#This Row],[Monthly plan / 月度计划]],1,2)</f>
        <v>VS</v>
      </c>
      <c r="T6" s="1" t="str">
        <f>MID(Table11[[#This Row],[Monthly plan / 月度计划]],4,4)</f>
        <v>0926</v>
      </c>
      <c r="U6" s="1" t="s">
        <v>135</v>
      </c>
      <c r="Y6" t="b">
        <v>0</v>
      </c>
    </row>
    <row r="7" spans="1:25" x14ac:dyDescent="0.3">
      <c r="A7" s="2" t="s">
        <v>162</v>
      </c>
      <c r="C7" t="s">
        <v>239</v>
      </c>
      <c r="K7" s="2" t="s">
        <v>136</v>
      </c>
      <c r="M7" s="3">
        <v>46028</v>
      </c>
      <c r="N7">
        <v>1</v>
      </c>
      <c r="O7">
        <v>1</v>
      </c>
      <c r="Q7" t="s">
        <v>144</v>
      </c>
      <c r="R7" t="s">
        <v>8</v>
      </c>
      <c r="S7" s="1" t="str">
        <f>MID(Table11[[#This Row],[Monthly plan / 月度计划]],1,2)</f>
        <v>VS</v>
      </c>
      <c r="T7" s="1" t="str">
        <f>MID(Table11[[#This Row],[Monthly plan / 月度计划]],4,4)</f>
        <v>0906</v>
      </c>
      <c r="U7" s="1" t="s">
        <v>84</v>
      </c>
      <c r="Y7" t="b">
        <v>0</v>
      </c>
    </row>
    <row r="8" spans="1:25" x14ac:dyDescent="0.3">
      <c r="A8" t="s">
        <v>163</v>
      </c>
      <c r="C8" t="s">
        <v>261</v>
      </c>
      <c r="K8" s="2" t="s">
        <v>134</v>
      </c>
      <c r="M8" s="3">
        <v>46029</v>
      </c>
      <c r="N8">
        <v>1</v>
      </c>
      <c r="O8">
        <v>1</v>
      </c>
      <c r="Q8" t="s">
        <v>144</v>
      </c>
      <c r="R8" t="s">
        <v>8</v>
      </c>
      <c r="S8" s="1" t="str">
        <f>MID(Table11[[#This Row],[Monthly plan / 月度计划]],1,2)</f>
        <v>VS</v>
      </c>
      <c r="T8" s="1" t="str">
        <f>MID(Table11[[#This Row],[Monthly plan / 月度计划]],4,4)</f>
        <v>0906</v>
      </c>
      <c r="U8" s="1" t="s">
        <v>93</v>
      </c>
      <c r="Y8" t="b">
        <v>0</v>
      </c>
    </row>
    <row r="9" spans="1:25" x14ac:dyDescent="0.3">
      <c r="A9" t="s">
        <v>164</v>
      </c>
      <c r="K9" s="4" t="s">
        <v>3</v>
      </c>
      <c r="M9" s="3">
        <v>46030</v>
      </c>
      <c r="N9">
        <v>1</v>
      </c>
      <c r="O9">
        <v>1</v>
      </c>
      <c r="Q9" t="s">
        <v>144</v>
      </c>
      <c r="R9" t="s">
        <v>8</v>
      </c>
      <c r="S9" s="1" t="str">
        <f>MID(Table11[[#This Row],[Monthly plan / 月度计划]],1,2)</f>
        <v>VS</v>
      </c>
      <c r="T9" s="1" t="str">
        <f>MID(Table11[[#This Row],[Monthly plan / 月度计划]],4,4)</f>
        <v>0886</v>
      </c>
      <c r="U9" s="1" t="s">
        <v>54</v>
      </c>
      <c r="Y9" t="b">
        <v>0</v>
      </c>
    </row>
    <row r="10" spans="1:25" x14ac:dyDescent="0.3">
      <c r="A10" t="s">
        <v>165</v>
      </c>
      <c r="K10" s="2" t="s">
        <v>133</v>
      </c>
      <c r="M10" s="3">
        <v>46031</v>
      </c>
      <c r="N10">
        <v>1</v>
      </c>
      <c r="O10">
        <v>1</v>
      </c>
      <c r="Q10" t="s">
        <v>144</v>
      </c>
      <c r="R10" t="s">
        <v>8</v>
      </c>
      <c r="S10" s="1" t="str">
        <f>MID(Table11[[#This Row],[Monthly plan / 月度计划]],1,2)</f>
        <v>VS</v>
      </c>
      <c r="T10" s="1" t="str">
        <f>MID(Table11[[#This Row],[Monthly plan / 月度计划]],4,4)</f>
        <v>0886</v>
      </c>
      <c r="U10" s="1" t="s">
        <v>62</v>
      </c>
      <c r="Y10" t="b">
        <v>0</v>
      </c>
    </row>
    <row r="11" spans="1:25" x14ac:dyDescent="0.3">
      <c r="A11" t="s">
        <v>166</v>
      </c>
      <c r="K11" s="2" t="s">
        <v>132</v>
      </c>
      <c r="M11" s="3">
        <v>46032</v>
      </c>
      <c r="N11">
        <v>1</v>
      </c>
      <c r="O11">
        <v>1</v>
      </c>
      <c r="Q11" t="s">
        <v>144</v>
      </c>
      <c r="R11" t="s">
        <v>8</v>
      </c>
      <c r="S11" s="1" t="str">
        <f>MID(Table11[[#This Row],[Monthly plan / 月度计划]],1,2)</f>
        <v>VS</v>
      </c>
      <c r="T11" s="1" t="str">
        <f>MID(Table11[[#This Row],[Monthly plan / 月度计划]],4,4)</f>
        <v>1000</v>
      </c>
      <c r="U11" s="1" t="s">
        <v>6</v>
      </c>
      <c r="Y11" t="b">
        <v>0</v>
      </c>
    </row>
    <row r="12" spans="1:25" x14ac:dyDescent="0.3">
      <c r="A12" t="s">
        <v>167</v>
      </c>
      <c r="K12" s="2" t="s">
        <v>131</v>
      </c>
      <c r="M12" s="3">
        <v>46033</v>
      </c>
      <c r="N12">
        <v>1</v>
      </c>
      <c r="O12" s="2">
        <v>2</v>
      </c>
      <c r="Q12" t="s">
        <v>144</v>
      </c>
      <c r="R12" t="s">
        <v>8</v>
      </c>
      <c r="S12" s="1" t="str">
        <f>MID(Table11[[#This Row],[Monthly plan / 月度计划]],1,2)</f>
        <v>VS</v>
      </c>
      <c r="T12" s="1" t="str">
        <f>MID(Table11[[#This Row],[Monthly plan / 月度计划]],4,4)</f>
        <v>0986</v>
      </c>
      <c r="U12" s="1" t="s">
        <v>108</v>
      </c>
      <c r="Y12" t="b">
        <v>0</v>
      </c>
    </row>
    <row r="13" spans="1:25" x14ac:dyDescent="0.3">
      <c r="A13" t="s">
        <v>168</v>
      </c>
      <c r="K13" s="2" t="s">
        <v>130</v>
      </c>
      <c r="M13" s="3">
        <v>46034</v>
      </c>
      <c r="N13">
        <v>1</v>
      </c>
      <c r="O13" s="2">
        <v>2</v>
      </c>
      <c r="Q13" t="s">
        <v>144</v>
      </c>
      <c r="R13" t="s">
        <v>8</v>
      </c>
      <c r="S13" s="1" t="str">
        <f>MID(Table11[[#This Row],[Monthly plan / 月度计划]],1,2)</f>
        <v>VS</v>
      </c>
      <c r="T13" s="1" t="str">
        <f>MID(Table11[[#This Row],[Monthly plan / 月度计划]],4,4)</f>
        <v>0946</v>
      </c>
      <c r="U13" s="1" t="s">
        <v>65</v>
      </c>
      <c r="Y13" t="b">
        <v>0</v>
      </c>
    </row>
    <row r="14" spans="1:25" x14ac:dyDescent="0.3">
      <c r="A14" s="2" t="s">
        <v>169</v>
      </c>
      <c r="K14" s="2" t="s">
        <v>129</v>
      </c>
      <c r="M14" s="3">
        <v>46035</v>
      </c>
      <c r="N14">
        <v>1</v>
      </c>
      <c r="O14" s="2">
        <v>2</v>
      </c>
      <c r="Q14" t="s">
        <v>144</v>
      </c>
      <c r="R14" t="s">
        <v>8</v>
      </c>
      <c r="S14" s="1" t="str">
        <f>MID(Table11[[#This Row],[Monthly plan / 月度计划]],1,2)</f>
        <v>VS</v>
      </c>
      <c r="T14" s="1" t="str">
        <f>MID(Table11[[#This Row],[Monthly plan / 月度计划]],4,4)</f>
        <v>0946</v>
      </c>
      <c r="U14" s="1" t="s">
        <v>107</v>
      </c>
      <c r="Y14" t="b">
        <v>0</v>
      </c>
    </row>
    <row r="15" spans="1:25" x14ac:dyDescent="0.3">
      <c r="A15" s="2" t="s">
        <v>170</v>
      </c>
      <c r="K15" s="2" t="s">
        <v>128</v>
      </c>
      <c r="M15" s="3">
        <v>46036</v>
      </c>
      <c r="N15">
        <v>1</v>
      </c>
      <c r="O15" s="2">
        <v>2</v>
      </c>
      <c r="Q15" t="s">
        <v>144</v>
      </c>
      <c r="R15" t="s">
        <v>8</v>
      </c>
      <c r="S15" s="1" t="str">
        <f>MID(Table11[[#This Row],[Monthly plan / 月度计划]],1,2)</f>
        <v>VS</v>
      </c>
      <c r="T15" s="1" t="str">
        <f>MID(Table11[[#This Row],[Monthly plan / 月度计划]],4,4)</f>
        <v>0946</v>
      </c>
      <c r="U15" s="1" t="s">
        <v>64</v>
      </c>
      <c r="Y15" t="b">
        <v>0</v>
      </c>
    </row>
    <row r="16" spans="1:25" x14ac:dyDescent="0.3">
      <c r="A16" s="2" t="s">
        <v>171</v>
      </c>
      <c r="K16" s="2" t="s">
        <v>127</v>
      </c>
      <c r="M16" s="3">
        <v>46037</v>
      </c>
      <c r="N16">
        <v>1</v>
      </c>
      <c r="O16" s="2">
        <v>2</v>
      </c>
      <c r="Q16" t="s">
        <v>144</v>
      </c>
      <c r="R16" t="s">
        <v>8</v>
      </c>
      <c r="S16" s="1" t="str">
        <f>MID(Table11[[#This Row],[Monthly plan / 月度计划]],1,2)</f>
        <v>VS</v>
      </c>
      <c r="T16" s="1" t="str">
        <f>MID(Table11[[#This Row],[Monthly plan / 月度计划]],4,4)</f>
        <v>0906</v>
      </c>
      <c r="U16" s="1" t="s">
        <v>63</v>
      </c>
      <c r="Y16" t="b">
        <v>0</v>
      </c>
    </row>
    <row r="17" spans="1:25" x14ac:dyDescent="0.3">
      <c r="A17" s="2" t="s">
        <v>172</v>
      </c>
      <c r="K17" s="2" t="s">
        <v>126</v>
      </c>
      <c r="M17" s="3">
        <v>46038</v>
      </c>
      <c r="N17">
        <v>1</v>
      </c>
      <c r="O17" s="2">
        <v>2</v>
      </c>
      <c r="Q17" t="s">
        <v>144</v>
      </c>
      <c r="R17" t="s">
        <v>8</v>
      </c>
      <c r="S17" s="1" t="str">
        <f>MID(Table11[[#This Row],[Monthly plan / 月度计划]],1,2)</f>
        <v>VS</v>
      </c>
      <c r="T17" s="1" t="str">
        <f>MID(Table11[[#This Row],[Monthly plan / 月度计划]],4,4)</f>
        <v>0906</v>
      </c>
      <c r="U17" s="1" t="s">
        <v>83</v>
      </c>
      <c r="Y17" t="b">
        <v>0</v>
      </c>
    </row>
    <row r="18" spans="1:25" x14ac:dyDescent="0.3">
      <c r="A18" s="2" t="s">
        <v>173</v>
      </c>
      <c r="K18" s="2" t="s">
        <v>125</v>
      </c>
      <c r="M18" s="3">
        <v>46039</v>
      </c>
      <c r="N18">
        <v>1</v>
      </c>
      <c r="O18" s="2">
        <v>2</v>
      </c>
      <c r="Q18" t="s">
        <v>144</v>
      </c>
      <c r="R18" t="s">
        <v>8</v>
      </c>
      <c r="S18" s="1" t="str">
        <f>MID(Table11[[#This Row],[Monthly plan / 月度计划]],1,2)</f>
        <v>VS</v>
      </c>
      <c r="T18" s="1" t="str">
        <f>MID(Table11[[#This Row],[Monthly plan / 月度计划]],4,4)</f>
        <v>0886</v>
      </c>
      <c r="U18" s="1" t="s">
        <v>124</v>
      </c>
      <c r="Y18" t="b">
        <v>0</v>
      </c>
    </row>
    <row r="19" spans="1:25" x14ac:dyDescent="0.3">
      <c r="A19" s="2" t="s">
        <v>174</v>
      </c>
      <c r="K19" s="2" t="s">
        <v>285</v>
      </c>
      <c r="M19" s="3">
        <v>46040</v>
      </c>
      <c r="N19">
        <v>1</v>
      </c>
      <c r="O19" s="2">
        <v>3</v>
      </c>
      <c r="Q19" t="s">
        <v>144</v>
      </c>
      <c r="R19" t="s">
        <v>8</v>
      </c>
      <c r="S19" s="1" t="str">
        <f>MID(Table11[[#This Row],[Monthly plan / 月度计划]],1,2)</f>
        <v>VS</v>
      </c>
      <c r="T19" s="1" t="str">
        <f>MID(Table11[[#This Row],[Monthly plan / 月度计划]],4,4)</f>
        <v>0886</v>
      </c>
      <c r="U19" s="1" t="s">
        <v>92</v>
      </c>
      <c r="Y19" t="b">
        <v>0</v>
      </c>
    </row>
    <row r="20" spans="1:25" x14ac:dyDescent="0.3">
      <c r="A20" s="2" t="s">
        <v>175</v>
      </c>
      <c r="K20" s="4" t="s">
        <v>330</v>
      </c>
      <c r="M20" s="3">
        <v>46041</v>
      </c>
      <c r="N20">
        <v>1</v>
      </c>
      <c r="O20" s="2">
        <v>3</v>
      </c>
      <c r="Q20" t="s">
        <v>144</v>
      </c>
      <c r="R20" t="s">
        <v>8</v>
      </c>
      <c r="S20" s="1" t="str">
        <f>MID(Table11[[#This Row],[Monthly plan / 月度计划]],1,2)</f>
        <v>VS</v>
      </c>
      <c r="T20" s="1" t="str">
        <f>MID(Table11[[#This Row],[Monthly plan / 月度计划]],4,4)</f>
        <v>0886</v>
      </c>
      <c r="U20" s="1" t="s">
        <v>123</v>
      </c>
      <c r="Y20" t="b">
        <v>0</v>
      </c>
    </row>
    <row r="21" spans="1:25" x14ac:dyDescent="0.3">
      <c r="A21" s="2" t="s">
        <v>176</v>
      </c>
      <c r="K21" s="2" t="s">
        <v>331</v>
      </c>
      <c r="M21" s="3">
        <v>46042</v>
      </c>
      <c r="N21">
        <v>1</v>
      </c>
      <c r="O21" s="2">
        <v>3</v>
      </c>
      <c r="Q21" t="s">
        <v>144</v>
      </c>
      <c r="R21" t="s">
        <v>8</v>
      </c>
      <c r="S21" s="1" t="str">
        <f>MID(Table11[[#This Row],[Monthly plan / 月度计划]],1,2)</f>
        <v>VS</v>
      </c>
      <c r="T21" s="1" t="str">
        <f>MID(Table11[[#This Row],[Monthly plan / 月度计划]],4,4)</f>
        <v>0946</v>
      </c>
      <c r="U21" s="1" t="s">
        <v>86</v>
      </c>
      <c r="Y21" t="b">
        <v>0</v>
      </c>
    </row>
    <row r="22" spans="1:25" x14ac:dyDescent="0.3">
      <c r="A22" s="2" t="s">
        <v>177</v>
      </c>
      <c r="K22" s="2" t="s">
        <v>332</v>
      </c>
      <c r="M22" s="3">
        <v>46043</v>
      </c>
      <c r="N22">
        <v>1</v>
      </c>
      <c r="O22" s="2">
        <v>3</v>
      </c>
      <c r="Q22" t="s">
        <v>144</v>
      </c>
      <c r="R22" t="s">
        <v>8</v>
      </c>
      <c r="S22" s="1" t="str">
        <f>MID(Table11[[#This Row],[Monthly plan / 月度计划]],1,2)</f>
        <v>VS</v>
      </c>
      <c r="T22" s="1" t="str">
        <f>MID(Table11[[#This Row],[Monthly plan / 月度计划]],4,4)</f>
        <v>0876</v>
      </c>
      <c r="U22" s="1" t="s">
        <v>122</v>
      </c>
      <c r="Y22" t="b">
        <v>0</v>
      </c>
    </row>
    <row r="23" spans="1:25" x14ac:dyDescent="0.3">
      <c r="A23" s="2" t="s">
        <v>178</v>
      </c>
      <c r="K23" s="2" t="s">
        <v>333</v>
      </c>
      <c r="M23" s="3">
        <v>46044</v>
      </c>
      <c r="N23">
        <v>1</v>
      </c>
      <c r="O23" s="2">
        <v>3</v>
      </c>
      <c r="Q23" t="s">
        <v>144</v>
      </c>
      <c r="R23" t="s">
        <v>3</v>
      </c>
      <c r="S23" s="1" t="str">
        <f>MID(Table11[[#This Row],[Monthly plan / 月度计划]],1,2)</f>
        <v>YR</v>
      </c>
      <c r="T23" s="1" t="str">
        <f>MID(Table11[[#This Row],[Monthly plan / 月度计划]],4,4)</f>
        <v>1000</v>
      </c>
      <c r="U23" s="1" t="s">
        <v>106</v>
      </c>
      <c r="Y23" t="b">
        <v>0</v>
      </c>
    </row>
    <row r="24" spans="1:25" x14ac:dyDescent="0.3">
      <c r="A24" t="s">
        <v>179</v>
      </c>
      <c r="K24" s="2" t="s">
        <v>334</v>
      </c>
      <c r="M24" s="3">
        <v>46045</v>
      </c>
      <c r="N24">
        <v>1</v>
      </c>
      <c r="O24" s="2">
        <v>3</v>
      </c>
      <c r="Q24" t="s">
        <v>144</v>
      </c>
      <c r="R24" t="s">
        <v>3</v>
      </c>
      <c r="S24" s="1" t="str">
        <f>MID(Table11[[#This Row],[Monthly plan / 月度计划]],1,2)</f>
        <v>YR</v>
      </c>
      <c r="T24" s="1" t="str">
        <f>MID(Table11[[#This Row],[Monthly plan / 月度计划]],4,4)</f>
        <v>0966</v>
      </c>
      <c r="U24" s="1" t="s">
        <v>75</v>
      </c>
      <c r="Y24" t="b">
        <v>0</v>
      </c>
    </row>
    <row r="25" spans="1:25" x14ac:dyDescent="0.3">
      <c r="A25" t="s">
        <v>180</v>
      </c>
      <c r="K25" s="2" t="s">
        <v>335</v>
      </c>
      <c r="M25" s="3">
        <v>46046</v>
      </c>
      <c r="N25">
        <v>1</v>
      </c>
      <c r="O25" s="2">
        <v>3</v>
      </c>
      <c r="Q25" t="s">
        <v>144</v>
      </c>
      <c r="R25" t="s">
        <v>3</v>
      </c>
      <c r="S25" s="1" t="str">
        <f>MID(Table11[[#This Row],[Monthly plan / 月度计划]],1,2)</f>
        <v>YR</v>
      </c>
      <c r="T25" s="1" t="str">
        <f>MID(Table11[[#This Row],[Monthly plan / 月度计划]],4,4)</f>
        <v>0966</v>
      </c>
      <c r="U25" s="1" t="s">
        <v>34</v>
      </c>
      <c r="Y25" t="b">
        <v>0</v>
      </c>
    </row>
    <row r="26" spans="1:25" x14ac:dyDescent="0.3">
      <c r="A26" s="2" t="s">
        <v>181</v>
      </c>
      <c r="K26" s="2" t="s">
        <v>336</v>
      </c>
      <c r="M26" s="3">
        <v>46047</v>
      </c>
      <c r="N26">
        <v>1</v>
      </c>
      <c r="O26" s="2">
        <v>3</v>
      </c>
      <c r="Q26" t="s">
        <v>144</v>
      </c>
      <c r="R26" t="s">
        <v>3</v>
      </c>
      <c r="S26" s="1" t="str">
        <f>MID(Table11[[#This Row],[Monthly plan / 月度计划]],1,2)</f>
        <v>YR</v>
      </c>
      <c r="T26" s="1" t="str">
        <f>MID(Table11[[#This Row],[Monthly plan / 月度计划]],4,4)</f>
        <v>0966</v>
      </c>
      <c r="U26" s="1" t="s">
        <v>33</v>
      </c>
      <c r="Y26" t="b">
        <v>0</v>
      </c>
    </row>
    <row r="27" spans="1:25" x14ac:dyDescent="0.3">
      <c r="A27" s="2" t="s">
        <v>182</v>
      </c>
      <c r="K27" s="2" t="s">
        <v>337</v>
      </c>
      <c r="M27" s="3">
        <v>46048</v>
      </c>
      <c r="N27">
        <v>1</v>
      </c>
      <c r="O27" s="2">
        <v>1</v>
      </c>
      <c r="Q27" t="s">
        <v>144</v>
      </c>
      <c r="R27" t="s">
        <v>3</v>
      </c>
      <c r="S27" s="1" t="str">
        <f>MID(Table11[[#This Row],[Monthly plan / 月度计划]],1,2)</f>
        <v>YR</v>
      </c>
      <c r="T27" s="1" t="str">
        <f>MID(Table11[[#This Row],[Monthly plan / 月度计划]],4,4)</f>
        <v>0946</v>
      </c>
      <c r="U27" s="1" t="s">
        <v>37</v>
      </c>
      <c r="Y27" t="b">
        <v>0</v>
      </c>
    </row>
    <row r="28" spans="1:25" x14ac:dyDescent="0.3">
      <c r="A28" t="s">
        <v>183</v>
      </c>
      <c r="K28" s="2" t="s">
        <v>338</v>
      </c>
      <c r="M28" s="3">
        <v>46049</v>
      </c>
      <c r="N28">
        <v>1</v>
      </c>
      <c r="O28" s="2">
        <v>1</v>
      </c>
      <c r="Q28" t="s">
        <v>144</v>
      </c>
      <c r="R28" t="s">
        <v>3</v>
      </c>
      <c r="S28" s="1" t="str">
        <f>MID(Table11[[#This Row],[Monthly plan / 月度计划]],1,2)</f>
        <v>YR</v>
      </c>
      <c r="T28" s="1" t="str">
        <f>MID(Table11[[#This Row],[Monthly plan / 月度计划]],4,4)</f>
        <v>0946</v>
      </c>
      <c r="U28" s="1" t="s">
        <v>32</v>
      </c>
      <c r="Y28" t="b">
        <v>0</v>
      </c>
    </row>
    <row r="29" spans="1:25" x14ac:dyDescent="0.3">
      <c r="A29" t="s">
        <v>184</v>
      </c>
      <c r="K29" s="2" t="s">
        <v>339</v>
      </c>
      <c r="M29" s="3">
        <v>46050</v>
      </c>
      <c r="N29">
        <v>1</v>
      </c>
      <c r="O29" s="2">
        <v>1</v>
      </c>
      <c r="Q29" t="s">
        <v>144</v>
      </c>
      <c r="R29" t="s">
        <v>3</v>
      </c>
      <c r="S29" s="1" t="str">
        <f>MID(Table11[[#This Row],[Monthly plan / 月度计划]],1,2)</f>
        <v>YR</v>
      </c>
      <c r="T29" s="1" t="str">
        <f>MID(Table11[[#This Row],[Monthly plan / 月度计划]],4,4)</f>
        <v>0946</v>
      </c>
      <c r="U29" s="1" t="s">
        <v>104</v>
      </c>
      <c r="Y29" t="b">
        <v>0</v>
      </c>
    </row>
    <row r="30" spans="1:25" x14ac:dyDescent="0.3">
      <c r="A30" t="s">
        <v>185</v>
      </c>
      <c r="K30" s="2" t="s">
        <v>340</v>
      </c>
      <c r="M30" s="3">
        <v>46051</v>
      </c>
      <c r="N30">
        <v>1</v>
      </c>
      <c r="O30" s="2">
        <v>1</v>
      </c>
      <c r="Q30" t="s">
        <v>144</v>
      </c>
      <c r="R30" t="s">
        <v>3</v>
      </c>
      <c r="S30" s="1" t="str">
        <f>MID(Table11[[#This Row],[Monthly plan / 月度计划]],1,2)</f>
        <v>VS</v>
      </c>
      <c r="T30" s="1" t="str">
        <f>MID(Table11[[#This Row],[Monthly plan / 月度计划]],4,4)</f>
        <v>0926</v>
      </c>
      <c r="U30" s="1" t="s">
        <v>47</v>
      </c>
      <c r="Y30" t="b">
        <v>0</v>
      </c>
    </row>
    <row r="31" spans="1:25" x14ac:dyDescent="0.3">
      <c r="A31" t="s">
        <v>186</v>
      </c>
      <c r="K31" s="2" t="s">
        <v>341</v>
      </c>
      <c r="M31" s="3">
        <v>46052</v>
      </c>
      <c r="N31">
        <v>1</v>
      </c>
      <c r="O31" s="2">
        <v>1</v>
      </c>
      <c r="Q31" t="s">
        <v>144</v>
      </c>
      <c r="R31" t="s">
        <v>3</v>
      </c>
      <c r="S31" s="1" t="str">
        <f>MID(Table11[[#This Row],[Monthly plan / 月度计划]],1,2)</f>
        <v>VS</v>
      </c>
      <c r="T31" s="1" t="str">
        <f>MID(Table11[[#This Row],[Monthly plan / 月度计划]],4,4)</f>
        <v>0925</v>
      </c>
      <c r="U31" s="1" t="s">
        <v>68</v>
      </c>
      <c r="Y31" t="b">
        <v>0</v>
      </c>
    </row>
    <row r="32" spans="1:25" x14ac:dyDescent="0.3">
      <c r="A32" t="s">
        <v>187</v>
      </c>
      <c r="M32" s="3">
        <v>46053</v>
      </c>
      <c r="N32">
        <v>1</v>
      </c>
      <c r="O32" s="2">
        <v>1</v>
      </c>
      <c r="Q32" t="s">
        <v>144</v>
      </c>
      <c r="R32" t="s">
        <v>3</v>
      </c>
      <c r="S32" s="1" t="str">
        <f>MID(Table11[[#This Row],[Monthly plan / 月度计划]],1,2)</f>
        <v>VS</v>
      </c>
      <c r="T32" s="1" t="str">
        <f>MID(Table11[[#This Row],[Monthly plan / 月度计划]],4,4)</f>
        <v>0925</v>
      </c>
      <c r="U32" s="1" t="s">
        <v>121</v>
      </c>
      <c r="Y32" t="b">
        <v>0</v>
      </c>
    </row>
    <row r="33" spans="1:25" x14ac:dyDescent="0.3">
      <c r="A33" t="s">
        <v>188</v>
      </c>
      <c r="M33" s="3">
        <v>46054</v>
      </c>
      <c r="N33">
        <v>2</v>
      </c>
      <c r="O33" s="2">
        <v>2</v>
      </c>
      <c r="Q33" t="s">
        <v>144</v>
      </c>
      <c r="R33" t="s">
        <v>3</v>
      </c>
      <c r="S33" s="1" t="str">
        <f>MID(Table11[[#This Row],[Monthly plan / 月度计划]],1,2)</f>
        <v>VS</v>
      </c>
      <c r="T33" s="1" t="str">
        <f>MID(Table11[[#This Row],[Monthly plan / 月度计划]],4,4)</f>
        <v>0925</v>
      </c>
      <c r="U33" s="1" t="s">
        <v>103</v>
      </c>
      <c r="Y33" t="b">
        <v>0</v>
      </c>
    </row>
    <row r="34" spans="1:25" x14ac:dyDescent="0.3">
      <c r="A34" t="s">
        <v>189</v>
      </c>
      <c r="M34" s="3">
        <v>46055</v>
      </c>
      <c r="N34">
        <v>2</v>
      </c>
      <c r="O34" s="2">
        <v>2</v>
      </c>
      <c r="Q34" t="s">
        <v>144</v>
      </c>
      <c r="R34" t="s">
        <v>3</v>
      </c>
      <c r="S34" s="1" t="str">
        <f>MID(Table11[[#This Row],[Monthly plan / 月度计划]],1,2)</f>
        <v>VS</v>
      </c>
      <c r="T34" s="1" t="str">
        <f>MID(Table11[[#This Row],[Monthly plan / 月度计划]],4,4)</f>
        <v>0925</v>
      </c>
      <c r="U34" s="1" t="s">
        <v>30</v>
      </c>
      <c r="Y34" t="b">
        <v>0</v>
      </c>
    </row>
    <row r="35" spans="1:25" x14ac:dyDescent="0.3">
      <c r="A35" s="2" t="s">
        <v>190</v>
      </c>
      <c r="M35" s="3">
        <v>46056</v>
      </c>
      <c r="N35">
        <v>2</v>
      </c>
      <c r="O35" s="2">
        <v>2</v>
      </c>
      <c r="Q35" t="s">
        <v>144</v>
      </c>
      <c r="R35" t="s">
        <v>3</v>
      </c>
      <c r="S35" s="1" t="str">
        <f>MID(Table11[[#This Row],[Monthly plan / 月度计划]],1,2)</f>
        <v>VS</v>
      </c>
      <c r="T35" s="1" t="str">
        <f>MID(Table11[[#This Row],[Monthly plan / 月度计划]],4,4)</f>
        <v>0905</v>
      </c>
      <c r="U35" s="1" t="s">
        <v>19</v>
      </c>
      <c r="Y35" t="b">
        <v>0</v>
      </c>
    </row>
    <row r="36" spans="1:25" x14ac:dyDescent="0.3">
      <c r="A36" s="2" t="s">
        <v>191</v>
      </c>
      <c r="M36" s="3">
        <v>46057</v>
      </c>
      <c r="N36">
        <v>2</v>
      </c>
      <c r="O36" s="2">
        <v>2</v>
      </c>
      <c r="Q36" t="s">
        <v>144</v>
      </c>
      <c r="R36" t="s">
        <v>3</v>
      </c>
      <c r="S36" s="1" t="str">
        <f>MID(Table11[[#This Row],[Monthly plan / 月度计划]],1,2)</f>
        <v>VS</v>
      </c>
      <c r="T36" s="1" t="str">
        <f>MID(Table11[[#This Row],[Monthly plan / 月度计划]],4,4)</f>
        <v>0905</v>
      </c>
      <c r="U36" s="1" t="s">
        <v>72</v>
      </c>
      <c r="Y36" t="b">
        <v>0</v>
      </c>
    </row>
    <row r="37" spans="1:25" x14ac:dyDescent="0.3">
      <c r="A37" t="s">
        <v>192</v>
      </c>
      <c r="M37" s="3">
        <v>46058</v>
      </c>
      <c r="N37">
        <v>2</v>
      </c>
      <c r="O37" s="2">
        <v>2</v>
      </c>
      <c r="Q37" t="s">
        <v>144</v>
      </c>
      <c r="R37" t="s">
        <v>3</v>
      </c>
      <c r="S37" s="1" t="str">
        <f>MID(Table11[[#This Row],[Monthly plan / 月度计划]],1,2)</f>
        <v>VS</v>
      </c>
      <c r="T37" s="1" t="str">
        <f>MID(Table11[[#This Row],[Monthly plan / 月度计划]],4,4)</f>
        <v>0905</v>
      </c>
      <c r="U37" s="1" t="s">
        <v>18</v>
      </c>
      <c r="Y37" t="b">
        <v>0</v>
      </c>
    </row>
    <row r="38" spans="1:25" x14ac:dyDescent="0.3">
      <c r="A38" s="2" t="s">
        <v>193</v>
      </c>
      <c r="M38" s="3">
        <v>46059</v>
      </c>
      <c r="N38">
        <v>2</v>
      </c>
      <c r="O38" s="2">
        <v>2</v>
      </c>
      <c r="Q38" t="s">
        <v>144</v>
      </c>
      <c r="R38" t="s">
        <v>3</v>
      </c>
      <c r="S38" s="1" t="str">
        <f>MID(Table11[[#This Row],[Monthly plan / 月度计划]],1,2)</f>
        <v>YR</v>
      </c>
      <c r="T38" s="1" t="str">
        <f>MID(Table11[[#This Row],[Monthly plan / 月度计划]],4,4)</f>
        <v>0926</v>
      </c>
      <c r="U38" s="1" t="s">
        <v>120</v>
      </c>
      <c r="Y38" t="b">
        <v>0</v>
      </c>
    </row>
    <row r="39" spans="1:25" x14ac:dyDescent="0.3">
      <c r="A39" s="2" t="s">
        <v>194</v>
      </c>
      <c r="M39" s="3">
        <v>46060</v>
      </c>
      <c r="N39">
        <v>2</v>
      </c>
      <c r="O39" s="2">
        <v>2</v>
      </c>
      <c r="Q39" t="s">
        <v>144</v>
      </c>
      <c r="R39" t="s">
        <v>3</v>
      </c>
      <c r="S39" s="1" t="str">
        <f>MID(Table11[[#This Row],[Monthly plan / 月度计划]],1,2)</f>
        <v>YR</v>
      </c>
      <c r="T39" s="1" t="str">
        <f>MID(Table11[[#This Row],[Monthly plan / 月度计划]],4,4)</f>
        <v>0906</v>
      </c>
      <c r="U39" s="1" t="s">
        <v>100</v>
      </c>
      <c r="Y39" t="b">
        <v>0</v>
      </c>
    </row>
    <row r="40" spans="1:25" x14ac:dyDescent="0.3">
      <c r="A40" s="2" t="s">
        <v>195</v>
      </c>
      <c r="M40" s="3">
        <v>46061</v>
      </c>
      <c r="N40">
        <v>2</v>
      </c>
      <c r="O40" s="2">
        <v>3</v>
      </c>
      <c r="Q40" t="s">
        <v>144</v>
      </c>
      <c r="R40" t="s">
        <v>3</v>
      </c>
      <c r="S40" s="1" t="str">
        <f>MID(Table11[[#This Row],[Monthly plan / 月度计划]],1,2)</f>
        <v>YR</v>
      </c>
      <c r="T40" s="1" t="str">
        <f>MID(Table11[[#This Row],[Monthly plan / 月度计划]],4,4)</f>
        <v>0906</v>
      </c>
      <c r="U40" s="1" t="s">
        <v>42</v>
      </c>
      <c r="Y40" t="b">
        <v>0</v>
      </c>
    </row>
    <row r="41" spans="1:25" x14ac:dyDescent="0.3">
      <c r="A41" t="s">
        <v>196</v>
      </c>
      <c r="M41" s="3">
        <v>46062</v>
      </c>
      <c r="N41">
        <v>2</v>
      </c>
      <c r="O41" s="2">
        <v>3</v>
      </c>
      <c r="Q41" t="s">
        <v>144</v>
      </c>
      <c r="R41" t="s">
        <v>3</v>
      </c>
      <c r="S41" s="1" t="str">
        <f>MID(Table11[[#This Row],[Monthly plan / 月度计划]],1,2)</f>
        <v>YR</v>
      </c>
      <c r="T41" s="1" t="str">
        <f>MID(Table11[[#This Row],[Monthly plan / 月度计划]],4,4)</f>
        <v>0906</v>
      </c>
      <c r="U41" s="1" t="s">
        <v>119</v>
      </c>
      <c r="Y41" t="b">
        <v>0</v>
      </c>
    </row>
    <row r="42" spans="1:25" x14ac:dyDescent="0.3">
      <c r="A42" t="s">
        <v>197</v>
      </c>
      <c r="M42" s="3">
        <v>46063</v>
      </c>
      <c r="N42">
        <v>2</v>
      </c>
      <c r="O42" s="2">
        <v>3</v>
      </c>
      <c r="Q42" t="s">
        <v>144</v>
      </c>
      <c r="R42" t="s">
        <v>3</v>
      </c>
      <c r="S42" s="1" t="str">
        <f>MID(Table11[[#This Row],[Monthly plan / 月度计划]],1,2)</f>
        <v>VS</v>
      </c>
      <c r="T42" s="1" t="str">
        <f>MID(Table11[[#This Row],[Monthly plan / 月度计划]],4,4)</f>
        <v>0926</v>
      </c>
      <c r="U42" s="1" t="s">
        <v>118</v>
      </c>
      <c r="Y42" t="b">
        <v>0</v>
      </c>
    </row>
    <row r="43" spans="1:25" x14ac:dyDescent="0.3">
      <c r="A43" t="s">
        <v>198</v>
      </c>
      <c r="M43" s="3">
        <v>46064</v>
      </c>
      <c r="N43">
        <v>2</v>
      </c>
      <c r="O43" s="2">
        <v>3</v>
      </c>
      <c r="Q43" t="s">
        <v>144</v>
      </c>
      <c r="R43" t="s">
        <v>3</v>
      </c>
      <c r="S43" s="1" t="str">
        <f>MID(Table11[[#This Row],[Monthly plan / 月度计划]],1,2)</f>
        <v>YR</v>
      </c>
      <c r="T43" s="1" t="str">
        <f>MID(Table11[[#This Row],[Monthly plan / 月度计划]],4,4)</f>
        <v>0926</v>
      </c>
      <c r="U43" s="1" t="s">
        <v>117</v>
      </c>
      <c r="Y43" t="b">
        <v>0</v>
      </c>
    </row>
    <row r="44" spans="1:25" x14ac:dyDescent="0.3">
      <c r="A44" t="s">
        <v>199</v>
      </c>
      <c r="M44" s="3">
        <v>46065</v>
      </c>
      <c r="N44">
        <v>2</v>
      </c>
      <c r="O44" s="2">
        <v>3</v>
      </c>
      <c r="Q44" t="s">
        <v>144</v>
      </c>
      <c r="R44" t="s">
        <v>3</v>
      </c>
      <c r="S44" s="1" t="str">
        <f>MID(Table11[[#This Row],[Monthly plan / 月度计划]],1,2)</f>
        <v>YR</v>
      </c>
      <c r="T44" s="1" t="str">
        <f>MID(Table11[[#This Row],[Monthly plan / 月度计划]],4,4)</f>
        <v>0905</v>
      </c>
      <c r="U44" s="1" t="s">
        <v>116</v>
      </c>
      <c r="Y44" t="b">
        <v>0</v>
      </c>
    </row>
    <row r="45" spans="1:25" x14ac:dyDescent="0.3">
      <c r="A45" t="s">
        <v>200</v>
      </c>
      <c r="M45" s="3">
        <v>46066</v>
      </c>
      <c r="N45">
        <v>2</v>
      </c>
      <c r="O45" s="2">
        <v>3</v>
      </c>
      <c r="Q45" t="s">
        <v>144</v>
      </c>
      <c r="R45" t="s">
        <v>3</v>
      </c>
      <c r="S45" s="1" t="str">
        <f>MID(Table11[[#This Row],[Monthly plan / 月度计划]],1,2)</f>
        <v>VS</v>
      </c>
      <c r="T45" s="1" t="str">
        <f>MID(Table11[[#This Row],[Monthly plan / 月度计划]],4,4)</f>
        <v>0905</v>
      </c>
      <c r="U45" s="1" t="s">
        <v>98</v>
      </c>
      <c r="Y45" t="b">
        <v>0</v>
      </c>
    </row>
    <row r="46" spans="1:25" x14ac:dyDescent="0.3">
      <c r="A46" s="2" t="s">
        <v>201</v>
      </c>
      <c r="M46" s="3">
        <v>46067</v>
      </c>
      <c r="N46">
        <v>2</v>
      </c>
      <c r="O46" s="2">
        <v>3</v>
      </c>
      <c r="Q46" t="s">
        <v>144</v>
      </c>
      <c r="R46" t="s">
        <v>3</v>
      </c>
      <c r="S46" s="1" t="str">
        <f>MID(Table11[[#This Row],[Monthly plan / 月度计划]],1,2)</f>
        <v>VS</v>
      </c>
      <c r="T46" s="1" t="str">
        <f>MID(Table11[[#This Row],[Monthly plan / 月度计划]],4,4)</f>
        <v>0905</v>
      </c>
      <c r="U46" s="1" t="s">
        <v>115</v>
      </c>
      <c r="Y46" t="b">
        <v>0</v>
      </c>
    </row>
    <row r="47" spans="1:25" x14ac:dyDescent="0.3">
      <c r="A47" s="2" t="s">
        <v>202</v>
      </c>
      <c r="M47" s="3">
        <v>46068</v>
      </c>
      <c r="N47">
        <v>2</v>
      </c>
      <c r="O47" s="2">
        <v>4</v>
      </c>
      <c r="Q47" t="s">
        <v>144</v>
      </c>
      <c r="R47" t="s">
        <v>3</v>
      </c>
      <c r="S47" s="1" t="str">
        <f>MID(Table11[[#This Row],[Monthly plan / 月度计划]],1,2)</f>
        <v>VS</v>
      </c>
      <c r="T47" s="1" t="str">
        <f>MID(Table11[[#This Row],[Monthly plan / 月度计划]],4,4)</f>
        <v>0885</v>
      </c>
      <c r="U47" s="1" t="s">
        <v>114</v>
      </c>
      <c r="Y47" t="b">
        <v>0</v>
      </c>
    </row>
    <row r="48" spans="1:25" x14ac:dyDescent="0.3">
      <c r="A48" s="2" t="s">
        <v>263</v>
      </c>
      <c r="M48" s="3">
        <v>46069</v>
      </c>
      <c r="N48">
        <v>2</v>
      </c>
      <c r="O48" s="2">
        <v>4</v>
      </c>
      <c r="Q48" t="s">
        <v>144</v>
      </c>
      <c r="R48" t="s">
        <v>3</v>
      </c>
      <c r="S48" s="1" t="str">
        <f>MID(Table11[[#This Row],[Monthly plan / 月度计划]],1,2)</f>
        <v>VS</v>
      </c>
      <c r="T48" s="1" t="str">
        <f>MID(Table11[[#This Row],[Monthly plan / 月度计划]],4,4)</f>
        <v>0885</v>
      </c>
      <c r="U48" s="1" t="s">
        <v>70</v>
      </c>
      <c r="Y48" t="b">
        <v>0</v>
      </c>
    </row>
    <row r="49" spans="1:25" x14ac:dyDescent="0.3">
      <c r="A49" t="s">
        <v>264</v>
      </c>
      <c r="M49" s="3">
        <v>46070</v>
      </c>
      <c r="N49">
        <v>2</v>
      </c>
      <c r="O49" s="2">
        <v>4</v>
      </c>
      <c r="Q49" t="s">
        <v>144</v>
      </c>
      <c r="R49" t="s">
        <v>3</v>
      </c>
      <c r="S49" s="1" t="str">
        <f>MID(Table11[[#This Row],[Monthly plan / 月度计划]],1,2)</f>
        <v>VS</v>
      </c>
      <c r="T49" s="1" t="str">
        <f>MID(Table11[[#This Row],[Monthly plan / 月度计划]],4,4)</f>
        <v>0890</v>
      </c>
      <c r="U49" s="1" t="s">
        <v>113</v>
      </c>
      <c r="Y49" t="b">
        <v>0</v>
      </c>
    </row>
    <row r="50" spans="1:25" x14ac:dyDescent="0.3">
      <c r="A50" t="s">
        <v>265</v>
      </c>
      <c r="M50" s="3">
        <v>46071</v>
      </c>
      <c r="N50">
        <v>2</v>
      </c>
      <c r="O50" s="2">
        <v>4</v>
      </c>
      <c r="Q50" t="s">
        <v>112</v>
      </c>
      <c r="R50" t="s">
        <v>8</v>
      </c>
      <c r="S50" s="1" t="str">
        <f>MID(Table11[[#This Row],[Monthly plan / 月度计划]],1,2)</f>
        <v>VS</v>
      </c>
      <c r="T50" s="1" t="str">
        <f>MID(Table11[[#This Row],[Monthly plan / 月度计划]],4,4)</f>
        <v>0966</v>
      </c>
      <c r="U50" s="1" t="s">
        <v>94</v>
      </c>
      <c r="Y50" t="b">
        <v>0</v>
      </c>
    </row>
    <row r="51" spans="1:25" x14ac:dyDescent="0.3">
      <c r="A51" t="s">
        <v>266</v>
      </c>
      <c r="M51" s="3">
        <v>46072</v>
      </c>
      <c r="N51">
        <v>2</v>
      </c>
      <c r="O51" s="2">
        <v>4</v>
      </c>
      <c r="Q51" t="s">
        <v>112</v>
      </c>
      <c r="R51" t="s">
        <v>8</v>
      </c>
      <c r="S51" s="1" t="str">
        <f>MID(Table11[[#This Row],[Monthly plan / 月度计划]],1,2)</f>
        <v>VS</v>
      </c>
      <c r="T51" s="1" t="str">
        <f>MID(Table11[[#This Row],[Monthly plan / 月度计划]],4,4)</f>
        <v>0906</v>
      </c>
      <c r="U51" s="1" t="s">
        <v>93</v>
      </c>
      <c r="Y51" t="b">
        <v>0</v>
      </c>
    </row>
    <row r="52" spans="1:25" x14ac:dyDescent="0.3">
      <c r="A52" t="s">
        <v>267</v>
      </c>
      <c r="M52" s="3">
        <v>46073</v>
      </c>
      <c r="N52">
        <v>2</v>
      </c>
      <c r="O52" s="2">
        <v>4</v>
      </c>
      <c r="Q52" t="s">
        <v>112</v>
      </c>
      <c r="R52" t="s">
        <v>8</v>
      </c>
      <c r="S52" s="1" t="str">
        <f>MID(Table11[[#This Row],[Monthly plan / 月度计划]],1,2)</f>
        <v>VS</v>
      </c>
      <c r="T52" s="1" t="str">
        <f>MID(Table11[[#This Row],[Monthly plan / 月度计划]],4,4)</f>
        <v>0886</v>
      </c>
      <c r="U52" s="1" t="s">
        <v>54</v>
      </c>
      <c r="Y52" t="b">
        <v>0</v>
      </c>
    </row>
    <row r="53" spans="1:25" x14ac:dyDescent="0.3">
      <c r="A53" t="s">
        <v>268</v>
      </c>
      <c r="M53" s="3">
        <v>46074</v>
      </c>
      <c r="N53">
        <v>2</v>
      </c>
      <c r="O53" s="2">
        <v>4</v>
      </c>
      <c r="Q53" t="s">
        <v>112</v>
      </c>
      <c r="R53" t="s">
        <v>8</v>
      </c>
      <c r="S53" s="1" t="str">
        <f>MID(Table11[[#This Row],[Monthly plan / 月度计划]],1,2)</f>
        <v>VS</v>
      </c>
      <c r="T53" s="1" t="str">
        <f>MID(Table11[[#This Row],[Monthly plan / 月度计划]],4,4)</f>
        <v>0886</v>
      </c>
      <c r="U53" s="1" t="s">
        <v>62</v>
      </c>
      <c r="Y53" t="b">
        <v>0</v>
      </c>
    </row>
    <row r="54" spans="1:25" x14ac:dyDescent="0.3">
      <c r="A54" t="s">
        <v>269</v>
      </c>
      <c r="M54" s="3">
        <v>46075</v>
      </c>
      <c r="N54">
        <v>2</v>
      </c>
      <c r="O54" s="2">
        <v>4</v>
      </c>
      <c r="Q54" t="s">
        <v>112</v>
      </c>
      <c r="R54" t="s">
        <v>8</v>
      </c>
      <c r="S54" s="1" t="str">
        <f>MID(Table11[[#This Row],[Monthly plan / 月度计划]],1,2)</f>
        <v>VS</v>
      </c>
      <c r="T54" s="1" t="str">
        <f>MID(Table11[[#This Row],[Monthly plan / 月度计划]],4,4)</f>
        <v>0986</v>
      </c>
      <c r="U54" s="1" t="s">
        <v>81</v>
      </c>
      <c r="Y54" t="b">
        <v>0</v>
      </c>
    </row>
    <row r="55" spans="1:25" ht="14.4" customHeight="1" x14ac:dyDescent="0.3">
      <c r="M55" s="3">
        <v>46076</v>
      </c>
      <c r="N55">
        <v>2</v>
      </c>
      <c r="O55" s="2">
        <v>4</v>
      </c>
      <c r="Q55" t="s">
        <v>112</v>
      </c>
      <c r="R55" t="s">
        <v>8</v>
      </c>
      <c r="S55" s="1" t="str">
        <f>MID(Table11[[#This Row],[Monthly plan / 月度计划]],1,2)</f>
        <v>VS</v>
      </c>
      <c r="T55" s="1" t="str">
        <f>MID(Table11[[#This Row],[Monthly plan / 月度计划]],4,4)</f>
        <v>0986</v>
      </c>
      <c r="U55" s="1" t="s">
        <v>52</v>
      </c>
      <c r="Y55" t="b">
        <v>0</v>
      </c>
    </row>
    <row r="56" spans="1:25" ht="14.4" customHeight="1" x14ac:dyDescent="0.3">
      <c r="M56" s="3">
        <v>46077</v>
      </c>
      <c r="N56">
        <v>2</v>
      </c>
      <c r="O56" s="2">
        <v>4</v>
      </c>
      <c r="Q56" t="s">
        <v>112</v>
      </c>
      <c r="R56" t="s">
        <v>8</v>
      </c>
      <c r="S56" s="1" t="str">
        <f>MID(Table11[[#This Row],[Monthly plan / 月度计划]],1,2)</f>
        <v>VS</v>
      </c>
      <c r="T56" s="1" t="str">
        <f>MID(Table11[[#This Row],[Monthly plan / 月度计划]],4,4)</f>
        <v>0986</v>
      </c>
      <c r="U56" s="1" t="s">
        <v>51</v>
      </c>
      <c r="Y56" t="b">
        <v>0</v>
      </c>
    </row>
    <row r="57" spans="1:25" ht="14.4" customHeight="1" x14ac:dyDescent="0.3">
      <c r="M57" s="3">
        <v>46078</v>
      </c>
      <c r="N57">
        <v>2</v>
      </c>
      <c r="O57" s="2">
        <v>4</v>
      </c>
      <c r="Q57" t="s">
        <v>112</v>
      </c>
      <c r="R57" t="s">
        <v>8</v>
      </c>
      <c r="S57" s="1" t="str">
        <f>MID(Table11[[#This Row],[Monthly plan / 月度计划]],1,2)</f>
        <v>VS</v>
      </c>
      <c r="T57" s="1" t="str">
        <f>MID(Table11[[#This Row],[Monthly plan / 月度计划]],4,4)</f>
        <v>0926</v>
      </c>
      <c r="U57" s="1" t="s">
        <v>47</v>
      </c>
      <c r="Y57" t="b">
        <v>0</v>
      </c>
    </row>
    <row r="58" spans="1:25" ht="14.4" customHeight="1" x14ac:dyDescent="0.3">
      <c r="M58" s="3">
        <v>46079</v>
      </c>
      <c r="N58">
        <v>3</v>
      </c>
      <c r="O58" s="2">
        <v>1</v>
      </c>
      <c r="Q58" t="s">
        <v>112</v>
      </c>
      <c r="R58" t="s">
        <v>8</v>
      </c>
      <c r="S58" s="1" t="str">
        <f>MID(Table11[[#This Row],[Monthly plan / 月度计划]],1,2)</f>
        <v>VS</v>
      </c>
      <c r="T58" s="1" t="str">
        <f>MID(Table11[[#This Row],[Monthly plan / 月度计划]],4,4)</f>
        <v>0906</v>
      </c>
      <c r="U58" s="1" t="s">
        <v>84</v>
      </c>
      <c r="Y58" t="b">
        <v>0</v>
      </c>
    </row>
    <row r="59" spans="1:25" ht="14.4" customHeight="1" x14ac:dyDescent="0.3">
      <c r="M59" s="3">
        <v>46080</v>
      </c>
      <c r="N59">
        <v>3</v>
      </c>
      <c r="O59" s="2">
        <v>1</v>
      </c>
      <c r="Q59" t="s">
        <v>112</v>
      </c>
      <c r="R59" t="s">
        <v>8</v>
      </c>
      <c r="S59" s="1" t="str">
        <f>MID(Table11[[#This Row],[Monthly plan / 月度计划]],1,2)</f>
        <v>VS</v>
      </c>
      <c r="T59" s="1" t="str">
        <f>MID(Table11[[#This Row],[Monthly plan / 月度计划]],4,4)</f>
        <v>1015</v>
      </c>
      <c r="U59" s="1" t="s">
        <v>87</v>
      </c>
      <c r="Y59" t="b">
        <v>0</v>
      </c>
    </row>
    <row r="60" spans="1:25" ht="14.4" customHeight="1" x14ac:dyDescent="0.3">
      <c r="M60" s="3">
        <v>46081</v>
      </c>
      <c r="N60">
        <v>3</v>
      </c>
      <c r="O60" s="2">
        <v>1</v>
      </c>
      <c r="Q60" t="s">
        <v>112</v>
      </c>
      <c r="R60" t="s">
        <v>8</v>
      </c>
      <c r="S60" s="1" t="str">
        <f>MID(Table11[[#This Row],[Monthly plan / 月度计划]],1,2)</f>
        <v>VS</v>
      </c>
      <c r="T60" s="1" t="str">
        <f>MID(Table11[[#This Row],[Monthly plan / 月度计划]],4,4)</f>
        <v>1015</v>
      </c>
      <c r="U60" s="1" t="s">
        <v>5</v>
      </c>
      <c r="Y60" t="b">
        <v>0</v>
      </c>
    </row>
    <row r="61" spans="1:25" ht="14.4" customHeight="1" x14ac:dyDescent="0.3">
      <c r="M61" s="3">
        <v>46082</v>
      </c>
      <c r="N61">
        <v>3</v>
      </c>
      <c r="O61" s="2">
        <v>1</v>
      </c>
      <c r="Q61" t="s">
        <v>112</v>
      </c>
      <c r="R61" t="s">
        <v>8</v>
      </c>
      <c r="S61" s="1" t="str">
        <f>MID(Table11[[#This Row],[Monthly plan / 月度计划]],1,2)</f>
        <v>VS</v>
      </c>
      <c r="T61" s="1" t="str">
        <f>MID(Table11[[#This Row],[Monthly plan / 月度计划]],4,4)</f>
        <v>1000</v>
      </c>
      <c r="U61" s="1" t="s">
        <v>6</v>
      </c>
      <c r="Y61" t="b">
        <v>0</v>
      </c>
    </row>
    <row r="62" spans="1:25" ht="14.4" customHeight="1" x14ac:dyDescent="0.3">
      <c r="M62" s="3">
        <v>46083</v>
      </c>
      <c r="N62">
        <v>3</v>
      </c>
      <c r="O62" s="2">
        <v>1</v>
      </c>
      <c r="Q62" t="s">
        <v>112</v>
      </c>
      <c r="R62" t="s">
        <v>8</v>
      </c>
      <c r="S62" s="1" t="str">
        <f>MID(Table11[[#This Row],[Monthly plan / 月度计划]],1,2)</f>
        <v>VS</v>
      </c>
      <c r="T62" s="1" t="str">
        <f>MID(Table11[[#This Row],[Monthly plan / 月度计划]],4,4)</f>
        <v>0986</v>
      </c>
      <c r="U62" s="1" t="s">
        <v>111</v>
      </c>
      <c r="Y62" t="b">
        <v>0</v>
      </c>
    </row>
    <row r="63" spans="1:25" ht="14.4" customHeight="1" x14ac:dyDescent="0.3">
      <c r="M63" s="3">
        <v>46084</v>
      </c>
      <c r="N63">
        <v>3</v>
      </c>
      <c r="O63" s="2">
        <v>1</v>
      </c>
      <c r="Q63" t="s">
        <v>112</v>
      </c>
      <c r="R63" t="s">
        <v>8</v>
      </c>
      <c r="S63" s="1" t="str">
        <f>MID(Table11[[#This Row],[Monthly plan / 月度计划]],1,2)</f>
        <v>VS</v>
      </c>
      <c r="T63" s="1" t="str">
        <f>MID(Table11[[#This Row],[Monthly plan / 月度计划]],4,4)</f>
        <v>0966</v>
      </c>
      <c r="U63" s="1" t="s">
        <v>79</v>
      </c>
      <c r="Y63" t="b">
        <v>0</v>
      </c>
    </row>
    <row r="64" spans="1:25" ht="14.4" customHeight="1" x14ac:dyDescent="0.3">
      <c r="M64" s="3">
        <v>46085</v>
      </c>
      <c r="N64">
        <v>3</v>
      </c>
      <c r="O64" s="2">
        <v>1</v>
      </c>
      <c r="Q64" t="s">
        <v>112</v>
      </c>
      <c r="R64" t="s">
        <v>8</v>
      </c>
      <c r="S64" s="1" t="str">
        <f>MID(Table11[[#This Row],[Monthly plan / 月度计划]],1,2)</f>
        <v>YR</v>
      </c>
      <c r="T64" s="1" t="str">
        <f>MID(Table11[[#This Row],[Monthly plan / 月度计划]],4,4)</f>
        <v>0926</v>
      </c>
      <c r="U64" s="1" t="s">
        <v>44</v>
      </c>
      <c r="Y64" t="b">
        <v>0</v>
      </c>
    </row>
    <row r="65" spans="13:25" ht="14.4" customHeight="1" x14ac:dyDescent="0.3">
      <c r="M65" s="3">
        <v>46086</v>
      </c>
      <c r="N65">
        <v>3</v>
      </c>
      <c r="O65" s="2">
        <v>1</v>
      </c>
      <c r="Q65" t="s">
        <v>112</v>
      </c>
      <c r="R65" t="s">
        <v>8</v>
      </c>
      <c r="S65" s="1" t="str">
        <f>MID(Table11[[#This Row],[Monthly plan / 月度计划]],1,2)</f>
        <v>YR</v>
      </c>
      <c r="T65" s="1" t="str">
        <f>MID(Table11[[#This Row],[Monthly plan / 月度计划]],4,4)</f>
        <v>0926</v>
      </c>
      <c r="U65" s="1" t="s">
        <v>78</v>
      </c>
      <c r="Y65" t="b">
        <v>0</v>
      </c>
    </row>
    <row r="66" spans="13:25" ht="14.4" customHeight="1" x14ac:dyDescent="0.3">
      <c r="M66" s="3">
        <v>46087</v>
      </c>
      <c r="N66">
        <v>3</v>
      </c>
      <c r="O66" s="2">
        <v>1</v>
      </c>
      <c r="Q66" t="s">
        <v>112</v>
      </c>
      <c r="R66" t="s">
        <v>8</v>
      </c>
      <c r="S66" s="1" t="str">
        <f>MID(Table11[[#This Row],[Monthly plan / 月度计划]],1,2)</f>
        <v>YR</v>
      </c>
      <c r="T66" s="1" t="str">
        <f>MID(Table11[[#This Row],[Monthly plan / 月度计划]],4,4)</f>
        <v>0926</v>
      </c>
      <c r="U66" s="1" t="s">
        <v>110</v>
      </c>
      <c r="Y66" t="b">
        <v>0</v>
      </c>
    </row>
    <row r="67" spans="13:25" ht="14.4" customHeight="1" x14ac:dyDescent="0.3">
      <c r="M67" s="3">
        <v>46088</v>
      </c>
      <c r="N67">
        <v>3</v>
      </c>
      <c r="O67" s="2">
        <v>1</v>
      </c>
      <c r="Q67" t="s">
        <v>112</v>
      </c>
      <c r="R67" t="s">
        <v>8</v>
      </c>
      <c r="S67" s="1" t="str">
        <f>MID(Table11[[#This Row],[Monthly plan / 月度计划]],1,2)</f>
        <v>YR</v>
      </c>
      <c r="T67" s="1" t="str">
        <f>MID(Table11[[#This Row],[Monthly plan / 月度计划]],4,4)</f>
        <v>0926</v>
      </c>
      <c r="U67" s="1" t="s">
        <v>109</v>
      </c>
      <c r="Y67" t="b">
        <v>0</v>
      </c>
    </row>
    <row r="68" spans="13:25" ht="14.4" customHeight="1" x14ac:dyDescent="0.3">
      <c r="M68" s="3">
        <v>46089</v>
      </c>
      <c r="N68">
        <v>3</v>
      </c>
      <c r="O68" s="2">
        <v>2</v>
      </c>
      <c r="Q68" t="s">
        <v>112</v>
      </c>
      <c r="R68" t="s">
        <v>8</v>
      </c>
      <c r="S68" s="1" t="str">
        <f>MID(Table11[[#This Row],[Monthly plan / 月度计划]],1,2)</f>
        <v>VS</v>
      </c>
      <c r="T68" s="1" t="str">
        <f>MID(Table11[[#This Row],[Monthly plan / 月度计划]],4,4)</f>
        <v>0986</v>
      </c>
      <c r="U68" s="1" t="s">
        <v>108</v>
      </c>
      <c r="Y68" t="b">
        <v>0</v>
      </c>
    </row>
    <row r="69" spans="13:25" ht="14.4" customHeight="1" x14ac:dyDescent="0.3">
      <c r="M69" s="3">
        <v>46090</v>
      </c>
      <c r="N69">
        <v>3</v>
      </c>
      <c r="O69" s="2">
        <v>2</v>
      </c>
      <c r="Q69" t="s">
        <v>112</v>
      </c>
      <c r="R69" t="s">
        <v>8</v>
      </c>
      <c r="S69" s="1" t="str">
        <f>MID(Table11[[#This Row],[Monthly plan / 月度计划]],1,2)</f>
        <v>VS</v>
      </c>
      <c r="T69" s="1" t="str">
        <f>MID(Table11[[#This Row],[Monthly plan / 月度计划]],4,4)</f>
        <v>0946</v>
      </c>
      <c r="U69" s="1" t="s">
        <v>65</v>
      </c>
      <c r="Y69" t="b">
        <v>0</v>
      </c>
    </row>
    <row r="70" spans="13:25" ht="14.4" customHeight="1" x14ac:dyDescent="0.3">
      <c r="M70" s="3">
        <v>46091</v>
      </c>
      <c r="N70">
        <v>3</v>
      </c>
      <c r="O70" s="2">
        <v>2</v>
      </c>
      <c r="Q70" t="s">
        <v>112</v>
      </c>
      <c r="R70" t="s">
        <v>8</v>
      </c>
      <c r="S70" s="1" t="str">
        <f>MID(Table11[[#This Row],[Monthly plan / 月度计划]],1,2)</f>
        <v>VS</v>
      </c>
      <c r="T70" s="1" t="str">
        <f>MID(Table11[[#This Row],[Monthly plan / 月度计划]],4,4)</f>
        <v>0946</v>
      </c>
      <c r="U70" s="1" t="s">
        <v>64</v>
      </c>
      <c r="Y70" t="b">
        <v>0</v>
      </c>
    </row>
    <row r="71" spans="13:25" ht="14.4" customHeight="1" x14ac:dyDescent="0.3">
      <c r="M71" s="3">
        <v>46092</v>
      </c>
      <c r="N71">
        <v>3</v>
      </c>
      <c r="O71" s="2">
        <v>2</v>
      </c>
      <c r="Q71" t="s">
        <v>112</v>
      </c>
      <c r="R71" t="s">
        <v>8</v>
      </c>
      <c r="S71" s="1" t="str">
        <f>MID(Table11[[#This Row],[Monthly plan / 月度计划]],1,2)</f>
        <v>VS</v>
      </c>
      <c r="T71" s="1" t="str">
        <f>MID(Table11[[#This Row],[Monthly plan / 月度计划]],4,4)</f>
        <v>0906</v>
      </c>
      <c r="U71" s="1" t="s">
        <v>63</v>
      </c>
      <c r="Y71" t="b">
        <v>0</v>
      </c>
    </row>
    <row r="72" spans="13:25" ht="14.4" customHeight="1" x14ac:dyDescent="0.3">
      <c r="M72" s="3">
        <v>46093</v>
      </c>
      <c r="N72">
        <v>3</v>
      </c>
      <c r="O72" s="2">
        <v>2</v>
      </c>
      <c r="Q72" t="s">
        <v>112</v>
      </c>
      <c r="R72" t="s">
        <v>8</v>
      </c>
      <c r="S72" s="1" t="str">
        <f>MID(Table11[[#This Row],[Monthly plan / 月度计划]],1,2)</f>
        <v>VS</v>
      </c>
      <c r="T72" s="1" t="str">
        <f>MID(Table11[[#This Row],[Monthly plan / 月度计划]],4,4)</f>
        <v>0886</v>
      </c>
      <c r="U72" s="1" t="s">
        <v>92</v>
      </c>
      <c r="Y72" t="b">
        <v>0</v>
      </c>
    </row>
    <row r="73" spans="13:25" ht="14.4" customHeight="1" x14ac:dyDescent="0.3">
      <c r="M73" s="3">
        <v>46094</v>
      </c>
      <c r="N73">
        <v>3</v>
      </c>
      <c r="O73" s="2">
        <v>2</v>
      </c>
      <c r="Q73" t="s">
        <v>112</v>
      </c>
      <c r="R73" t="s">
        <v>8</v>
      </c>
      <c r="S73" s="1" t="str">
        <f>MID(Table11[[#This Row],[Monthly plan / 月度计划]],1,2)</f>
        <v>VS</v>
      </c>
      <c r="T73" s="1" t="str">
        <f>MID(Table11[[#This Row],[Monthly plan / 月度计划]],4,4)</f>
        <v>0866</v>
      </c>
      <c r="U73" s="1" t="s">
        <v>96</v>
      </c>
      <c r="Y73" t="b">
        <v>0</v>
      </c>
    </row>
    <row r="74" spans="13:25" ht="14.4" customHeight="1" x14ac:dyDescent="0.3">
      <c r="M74" s="3">
        <v>46095</v>
      </c>
      <c r="N74">
        <v>3</v>
      </c>
      <c r="O74" s="2">
        <v>2</v>
      </c>
      <c r="Q74" t="s">
        <v>112</v>
      </c>
      <c r="R74" t="s">
        <v>8</v>
      </c>
      <c r="S74" s="1" t="str">
        <f>MID(Table11[[#This Row],[Monthly plan / 月度计划]],1,2)</f>
        <v>VS</v>
      </c>
      <c r="T74" s="1" t="str">
        <f>MID(Table11[[#This Row],[Monthly plan / 月度计划]],4,4)</f>
        <v>0866</v>
      </c>
      <c r="U74" s="1" t="s">
        <v>59</v>
      </c>
      <c r="Y74" t="b">
        <v>0</v>
      </c>
    </row>
    <row r="75" spans="13:25" ht="14.4" customHeight="1" x14ac:dyDescent="0.3">
      <c r="M75" s="3">
        <v>46096</v>
      </c>
      <c r="N75">
        <v>3</v>
      </c>
      <c r="O75" s="2">
        <v>3</v>
      </c>
      <c r="Q75" t="s">
        <v>112</v>
      </c>
      <c r="R75" t="s">
        <v>8</v>
      </c>
      <c r="S75" s="1" t="str">
        <f>MID(Table11[[#This Row],[Monthly plan / 月度计划]],1,2)</f>
        <v>VS</v>
      </c>
      <c r="T75" s="1" t="str">
        <f>MID(Table11[[#This Row],[Monthly plan / 月度计划]],4,4)</f>
        <v>0866</v>
      </c>
      <c r="U75" s="1" t="s">
        <v>89</v>
      </c>
      <c r="Y75" t="b">
        <v>0</v>
      </c>
    </row>
    <row r="76" spans="13:25" ht="14.4" customHeight="1" x14ac:dyDescent="0.3">
      <c r="M76" s="3">
        <v>46097</v>
      </c>
      <c r="N76">
        <v>3</v>
      </c>
      <c r="O76" s="2">
        <v>3</v>
      </c>
      <c r="Q76" t="s">
        <v>112</v>
      </c>
      <c r="R76" t="s">
        <v>8</v>
      </c>
      <c r="S76" s="1" t="str">
        <f>MID(Table11[[#This Row],[Monthly plan / 月度计划]],1,2)</f>
        <v>VS</v>
      </c>
      <c r="T76" s="1" t="str">
        <f>MID(Table11[[#This Row],[Monthly plan / 月度计划]],4,4)</f>
        <v>0846</v>
      </c>
      <c r="U76" s="1" t="s">
        <v>88</v>
      </c>
      <c r="Y76" t="b">
        <v>0</v>
      </c>
    </row>
    <row r="77" spans="13:25" ht="14.4" customHeight="1" x14ac:dyDescent="0.3">
      <c r="M77" s="3">
        <v>46098</v>
      </c>
      <c r="N77">
        <v>3</v>
      </c>
      <c r="O77" s="2">
        <v>3</v>
      </c>
      <c r="Q77" t="s">
        <v>112</v>
      </c>
      <c r="R77" t="s">
        <v>8</v>
      </c>
      <c r="S77" s="1" t="str">
        <f>MID(Table11[[#This Row],[Monthly plan / 月度计划]],1,2)</f>
        <v>VS</v>
      </c>
      <c r="T77" s="1" t="str">
        <f>MID(Table11[[#This Row],[Monthly plan / 月度计划]],4,4)</f>
        <v>0946</v>
      </c>
      <c r="U77" s="1" t="s">
        <v>107</v>
      </c>
      <c r="Y77" t="b">
        <v>0</v>
      </c>
    </row>
    <row r="78" spans="13:25" ht="14.4" customHeight="1" x14ac:dyDescent="0.3">
      <c r="M78" s="3">
        <v>46099</v>
      </c>
      <c r="N78">
        <v>3</v>
      </c>
      <c r="O78" s="2">
        <v>3</v>
      </c>
      <c r="Q78" t="s">
        <v>112</v>
      </c>
      <c r="R78" t="s">
        <v>8</v>
      </c>
      <c r="S78" s="1" t="str">
        <f>MID(Table11[[#This Row],[Monthly plan / 月度计划]],1,2)</f>
        <v>VS</v>
      </c>
      <c r="T78" s="1" t="str">
        <f>MID(Table11[[#This Row],[Monthly plan / 月度计划]],4,4)</f>
        <v>0946</v>
      </c>
      <c r="U78" s="1" t="s">
        <v>86</v>
      </c>
      <c r="Y78" t="b">
        <v>0</v>
      </c>
    </row>
    <row r="79" spans="13:25" ht="14.4" customHeight="1" x14ac:dyDescent="0.3">
      <c r="M79" s="3">
        <v>46100</v>
      </c>
      <c r="N79">
        <v>3</v>
      </c>
      <c r="O79" s="2">
        <v>3</v>
      </c>
      <c r="Q79" t="s">
        <v>112</v>
      </c>
      <c r="R79" t="s">
        <v>8</v>
      </c>
      <c r="S79" s="1" t="str">
        <f>MID(Table11[[#This Row],[Monthly plan / 月度计划]],1,2)</f>
        <v>VS</v>
      </c>
      <c r="T79" s="1" t="str">
        <f>MID(Table11[[#This Row],[Monthly plan / 月度计划]],4,4)</f>
        <v>0906</v>
      </c>
      <c r="U79" s="1" t="s">
        <v>83</v>
      </c>
      <c r="Y79" t="b">
        <v>0</v>
      </c>
    </row>
    <row r="80" spans="13:25" ht="14.4" customHeight="1" x14ac:dyDescent="0.3">
      <c r="M80" s="3">
        <v>46101</v>
      </c>
      <c r="N80">
        <v>3</v>
      </c>
      <c r="O80" s="2">
        <v>3</v>
      </c>
      <c r="Q80" t="s">
        <v>112</v>
      </c>
      <c r="R80" t="s">
        <v>3</v>
      </c>
      <c r="S80" s="1" t="str">
        <f>MID(Table11[[#This Row],[Monthly plan / 月度计划]],1,2)</f>
        <v>YR</v>
      </c>
      <c r="T80" s="1" t="str">
        <f>MID(Table11[[#This Row],[Monthly plan / 月度计划]],4,4)</f>
        <v>0966</v>
      </c>
      <c r="U80" s="1" t="s">
        <v>75</v>
      </c>
      <c r="Y80" t="b">
        <v>0</v>
      </c>
    </row>
    <row r="81" spans="13:25" ht="14.4" customHeight="1" x14ac:dyDescent="0.3">
      <c r="M81" s="3">
        <v>46102</v>
      </c>
      <c r="N81">
        <v>3</v>
      </c>
      <c r="O81" s="2">
        <v>3</v>
      </c>
      <c r="Q81" t="s">
        <v>112</v>
      </c>
      <c r="R81" t="s">
        <v>3</v>
      </c>
      <c r="S81" s="1" t="str">
        <f>MID(Table11[[#This Row],[Monthly plan / 月度计划]],1,2)</f>
        <v>YR</v>
      </c>
      <c r="T81" s="1" t="str">
        <f>MID(Table11[[#This Row],[Monthly plan / 月度计划]],4,4)</f>
        <v>0946</v>
      </c>
      <c r="U81" s="1" t="s">
        <v>37</v>
      </c>
      <c r="Y81" t="b">
        <v>0</v>
      </c>
    </row>
    <row r="82" spans="13:25" ht="14.4" customHeight="1" x14ac:dyDescent="0.3">
      <c r="M82" s="3">
        <v>46103</v>
      </c>
      <c r="N82">
        <v>3</v>
      </c>
      <c r="O82" s="2">
        <v>4</v>
      </c>
      <c r="Q82" t="s">
        <v>112</v>
      </c>
      <c r="R82" t="s">
        <v>3</v>
      </c>
      <c r="S82" s="1" t="str">
        <f>MID(Table11[[#This Row],[Monthly plan / 月度计划]],1,2)</f>
        <v>YR</v>
      </c>
      <c r="T82" s="1" t="str">
        <f>MID(Table11[[#This Row],[Monthly plan / 月度计划]],4,4)</f>
        <v>1000</v>
      </c>
      <c r="U82" s="1" t="s">
        <v>106</v>
      </c>
      <c r="Y82" t="b">
        <v>0</v>
      </c>
    </row>
    <row r="83" spans="13:25" ht="14.4" customHeight="1" x14ac:dyDescent="0.3">
      <c r="M83" s="3">
        <v>46104</v>
      </c>
      <c r="N83">
        <v>3</v>
      </c>
      <c r="O83" s="2">
        <v>4</v>
      </c>
      <c r="Q83" t="s">
        <v>112</v>
      </c>
      <c r="R83" t="s">
        <v>3</v>
      </c>
      <c r="S83" s="1" t="str">
        <f>MID(Table11[[#This Row],[Monthly plan / 月度计划]],1,2)</f>
        <v>YR</v>
      </c>
      <c r="T83" s="1" t="str">
        <f>MID(Table11[[#This Row],[Monthly plan / 月度计划]],4,4)</f>
        <v>0966</v>
      </c>
      <c r="U83" s="1" t="s">
        <v>34</v>
      </c>
      <c r="Y83" t="b">
        <v>0</v>
      </c>
    </row>
    <row r="84" spans="13:25" ht="14.4" customHeight="1" x14ac:dyDescent="0.3">
      <c r="M84" s="3">
        <v>46105</v>
      </c>
      <c r="N84">
        <v>3</v>
      </c>
      <c r="O84" s="2">
        <v>4</v>
      </c>
      <c r="Q84" t="s">
        <v>112</v>
      </c>
      <c r="R84" t="s">
        <v>3</v>
      </c>
      <c r="S84" s="1" t="str">
        <f>MID(Table11[[#This Row],[Monthly plan / 月度计划]],1,2)</f>
        <v>YR</v>
      </c>
      <c r="T84" s="1" t="str">
        <f>MID(Table11[[#This Row],[Monthly plan / 月度计划]],4,4)</f>
        <v>0966</v>
      </c>
      <c r="U84" s="1" t="s">
        <v>33</v>
      </c>
      <c r="Y84" t="b">
        <v>0</v>
      </c>
    </row>
    <row r="85" spans="13:25" ht="14.4" customHeight="1" x14ac:dyDescent="0.3">
      <c r="M85" s="3">
        <v>46106</v>
      </c>
      <c r="N85">
        <v>3</v>
      </c>
      <c r="O85" s="2">
        <v>4</v>
      </c>
      <c r="Q85" t="s">
        <v>112</v>
      </c>
      <c r="R85" t="s">
        <v>3</v>
      </c>
      <c r="S85" s="1" t="str">
        <f>MID(Table11[[#This Row],[Monthly plan / 月度计划]],1,2)</f>
        <v>YR</v>
      </c>
      <c r="T85" s="1" t="str">
        <f>MID(Table11[[#This Row],[Monthly plan / 月度计划]],4,4)</f>
        <v>0966</v>
      </c>
      <c r="U85" s="1" t="s">
        <v>105</v>
      </c>
      <c r="Y85" t="b">
        <v>0</v>
      </c>
    </row>
    <row r="86" spans="13:25" ht="14.4" customHeight="1" x14ac:dyDescent="0.3">
      <c r="M86" s="3">
        <v>46107</v>
      </c>
      <c r="N86">
        <v>3</v>
      </c>
      <c r="O86" s="2">
        <v>1</v>
      </c>
      <c r="Q86" t="s">
        <v>112</v>
      </c>
      <c r="R86" t="s">
        <v>3</v>
      </c>
      <c r="S86" s="1" t="str">
        <f>MID(Table11[[#This Row],[Monthly plan / 月度计划]],1,2)</f>
        <v>YR</v>
      </c>
      <c r="T86" s="1" t="str">
        <f>MID(Table11[[#This Row],[Monthly plan / 月度计划]],4,4)</f>
        <v>0946</v>
      </c>
      <c r="U86" s="1" t="s">
        <v>104</v>
      </c>
      <c r="Y86" t="b">
        <v>0</v>
      </c>
    </row>
    <row r="87" spans="13:25" ht="14.4" customHeight="1" x14ac:dyDescent="0.3">
      <c r="M87" s="3">
        <v>46108</v>
      </c>
      <c r="N87">
        <v>3</v>
      </c>
      <c r="O87" s="2">
        <v>1</v>
      </c>
      <c r="Q87" t="s">
        <v>112</v>
      </c>
      <c r="R87" t="s">
        <v>3</v>
      </c>
      <c r="S87" s="1" t="str">
        <f>MID(Table11[[#This Row],[Monthly plan / 月度计划]],1,2)</f>
        <v>YR</v>
      </c>
      <c r="T87" s="1" t="str">
        <f>MID(Table11[[#This Row],[Monthly plan / 月度计划]],4,4)</f>
        <v>0946</v>
      </c>
      <c r="U87" s="1" t="s">
        <v>32</v>
      </c>
      <c r="Y87" t="b">
        <v>0</v>
      </c>
    </row>
    <row r="88" spans="13:25" ht="14.4" customHeight="1" x14ac:dyDescent="0.3">
      <c r="M88" s="3">
        <v>46109</v>
      </c>
      <c r="N88">
        <v>3</v>
      </c>
      <c r="O88" s="2">
        <v>1</v>
      </c>
      <c r="Q88" t="s">
        <v>112</v>
      </c>
      <c r="R88" t="s">
        <v>3</v>
      </c>
      <c r="S88" s="1" t="str">
        <f>MID(Table11[[#This Row],[Monthly plan / 月度计划]],1,2)</f>
        <v>YR</v>
      </c>
      <c r="T88" s="1" t="str">
        <f>MID(Table11[[#This Row],[Monthly plan / 月度计划]],4,4)</f>
        <v>0946</v>
      </c>
      <c r="U88" s="1" t="s">
        <v>74</v>
      </c>
      <c r="Y88" t="b">
        <v>0</v>
      </c>
    </row>
    <row r="89" spans="13:25" ht="14.4" customHeight="1" x14ac:dyDescent="0.3">
      <c r="M89" s="3">
        <v>46110</v>
      </c>
      <c r="N89">
        <v>3</v>
      </c>
      <c r="O89" s="2">
        <v>1</v>
      </c>
      <c r="Q89" t="s">
        <v>112</v>
      </c>
      <c r="R89" t="s">
        <v>3</v>
      </c>
      <c r="S89" s="1" t="str">
        <f>MID(Table11[[#This Row],[Monthly plan / 月度计划]],1,2)</f>
        <v>YR</v>
      </c>
      <c r="T89" s="1" t="str">
        <f>MID(Table11[[#This Row],[Monthly plan / 月度计划]],4,4)</f>
        <v>0946</v>
      </c>
      <c r="U89" s="1" t="s">
        <v>73</v>
      </c>
      <c r="Y89" t="b">
        <v>0</v>
      </c>
    </row>
    <row r="90" spans="13:25" ht="14.4" customHeight="1" x14ac:dyDescent="0.3">
      <c r="M90" s="3">
        <v>46111</v>
      </c>
      <c r="N90">
        <v>3</v>
      </c>
      <c r="O90" s="2">
        <v>1</v>
      </c>
      <c r="Q90" t="s">
        <v>112</v>
      </c>
      <c r="R90" t="s">
        <v>3</v>
      </c>
      <c r="S90" s="1" t="str">
        <f>MID(Table11[[#This Row],[Monthly plan / 月度计划]],1,2)</f>
        <v>VS</v>
      </c>
      <c r="T90" s="1" t="str">
        <f>MID(Table11[[#This Row],[Monthly plan / 月度计划]],4,4)</f>
        <v>0925</v>
      </c>
      <c r="U90" s="1" t="s">
        <v>30</v>
      </c>
      <c r="Y90" t="b">
        <v>0</v>
      </c>
    </row>
    <row r="91" spans="13:25" ht="14.4" customHeight="1" x14ac:dyDescent="0.3">
      <c r="M91" s="3">
        <v>46112</v>
      </c>
      <c r="N91">
        <v>3</v>
      </c>
      <c r="O91" s="2">
        <v>1</v>
      </c>
      <c r="Q91" t="s">
        <v>112</v>
      </c>
      <c r="R91" t="s">
        <v>3</v>
      </c>
      <c r="S91" s="1" t="str">
        <f>MID(Table11[[#This Row],[Monthly plan / 月度计划]],1,2)</f>
        <v>VS</v>
      </c>
      <c r="T91" s="1" t="str">
        <f>MID(Table11[[#This Row],[Monthly plan / 月度计划]],4,4)</f>
        <v>0905</v>
      </c>
      <c r="U91" s="1" t="s">
        <v>72</v>
      </c>
      <c r="Y91" t="b">
        <v>0</v>
      </c>
    </row>
    <row r="92" spans="13:25" ht="14.4" customHeight="1" x14ac:dyDescent="0.3">
      <c r="M92" s="3">
        <v>46113</v>
      </c>
      <c r="N92">
        <v>4</v>
      </c>
      <c r="O92" s="2">
        <v>2</v>
      </c>
      <c r="Q92" t="s">
        <v>112</v>
      </c>
      <c r="R92" t="s">
        <v>3</v>
      </c>
      <c r="S92" s="1" t="str">
        <f>MID(Table11[[#This Row],[Monthly plan / 月度计划]],1,2)</f>
        <v>VS</v>
      </c>
      <c r="T92" s="1" t="str">
        <f>MID(Table11[[#This Row],[Monthly plan / 月度计划]],4,4)</f>
        <v>0905</v>
      </c>
      <c r="U92" s="1" t="s">
        <v>18</v>
      </c>
      <c r="Y92" t="b">
        <v>0</v>
      </c>
    </row>
    <row r="93" spans="13:25" ht="14.4" customHeight="1" x14ac:dyDescent="0.3">
      <c r="M93" s="3">
        <v>46114</v>
      </c>
      <c r="N93">
        <v>4</v>
      </c>
      <c r="O93" s="2">
        <v>2</v>
      </c>
      <c r="Q93" t="s">
        <v>112</v>
      </c>
      <c r="R93" t="s">
        <v>3</v>
      </c>
      <c r="S93" s="1" t="str">
        <f>MID(Table11[[#This Row],[Monthly plan / 月度计划]],1,2)</f>
        <v>VS</v>
      </c>
      <c r="T93" s="1" t="str">
        <f>MID(Table11[[#This Row],[Monthly plan / 月度计划]],4,4)</f>
        <v>0925</v>
      </c>
      <c r="U93" s="1" t="s">
        <v>68</v>
      </c>
      <c r="Y93" t="b">
        <v>0</v>
      </c>
    </row>
    <row r="94" spans="13:25" ht="14.4" customHeight="1" x14ac:dyDescent="0.3">
      <c r="M94" s="3">
        <v>46115</v>
      </c>
      <c r="N94">
        <v>4</v>
      </c>
      <c r="O94" s="2">
        <v>2</v>
      </c>
      <c r="Q94" t="s">
        <v>112</v>
      </c>
      <c r="R94" t="s">
        <v>3</v>
      </c>
      <c r="S94" s="1" t="str">
        <f>MID(Table11[[#This Row],[Monthly plan / 月度计划]],1,2)</f>
        <v>VS</v>
      </c>
      <c r="T94" s="1" t="str">
        <f>MID(Table11[[#This Row],[Monthly plan / 月度计划]],4,4)</f>
        <v>0925</v>
      </c>
      <c r="U94" s="1" t="s">
        <v>103</v>
      </c>
      <c r="Y94" t="b">
        <v>0</v>
      </c>
    </row>
    <row r="95" spans="13:25" ht="14.4" customHeight="1" x14ac:dyDescent="0.3">
      <c r="M95" s="3">
        <v>46116</v>
      </c>
      <c r="N95">
        <v>4</v>
      </c>
      <c r="O95" s="2">
        <v>2</v>
      </c>
      <c r="Q95" t="s">
        <v>112</v>
      </c>
      <c r="R95" t="s">
        <v>3</v>
      </c>
      <c r="S95" s="1" t="str">
        <f>MID(Table11[[#This Row],[Monthly plan / 月度计划]],1,2)</f>
        <v>VS</v>
      </c>
      <c r="T95" s="1" t="str">
        <f>MID(Table11[[#This Row],[Monthly plan / 月度计划]],4,4)</f>
        <v>0905</v>
      </c>
      <c r="U95" s="1" t="s">
        <v>19</v>
      </c>
      <c r="Y95" t="b">
        <v>0</v>
      </c>
    </row>
    <row r="96" spans="13:25" ht="14.4" customHeight="1" x14ac:dyDescent="0.3">
      <c r="M96" s="3">
        <v>46117</v>
      </c>
      <c r="N96">
        <v>4</v>
      </c>
      <c r="O96" s="2">
        <v>2</v>
      </c>
      <c r="Q96" t="s">
        <v>112</v>
      </c>
      <c r="R96" t="s">
        <v>3</v>
      </c>
      <c r="S96" s="1" t="str">
        <f>MID(Table11[[#This Row],[Monthly plan / 月度计划]],1,2)</f>
        <v>YR</v>
      </c>
      <c r="T96" s="1" t="str">
        <f>MID(Table11[[#This Row],[Monthly plan / 月度计划]],4,4)</f>
        <v>0926</v>
      </c>
      <c r="U96" s="1" t="s">
        <v>102</v>
      </c>
      <c r="Y96" t="b">
        <v>0</v>
      </c>
    </row>
    <row r="97" spans="13:25" ht="14.4" customHeight="1" x14ac:dyDescent="0.3">
      <c r="M97" s="3">
        <v>46118</v>
      </c>
      <c r="N97">
        <v>4</v>
      </c>
      <c r="O97" s="2">
        <v>2</v>
      </c>
      <c r="Q97" t="s">
        <v>112</v>
      </c>
      <c r="R97" t="s">
        <v>3</v>
      </c>
      <c r="S97" s="1" t="str">
        <f>MID(Table11[[#This Row],[Monthly plan / 月度计划]],1,2)</f>
        <v>YR</v>
      </c>
      <c r="T97" s="1" t="str">
        <f>MID(Table11[[#This Row],[Monthly plan / 月度计划]],4,4)</f>
        <v>0906</v>
      </c>
      <c r="U97" s="1" t="s">
        <v>43</v>
      </c>
      <c r="Y97" t="b">
        <v>0</v>
      </c>
    </row>
    <row r="98" spans="13:25" ht="14.4" customHeight="1" x14ac:dyDescent="0.3">
      <c r="M98" s="3">
        <v>46119</v>
      </c>
      <c r="N98">
        <v>4</v>
      </c>
      <c r="O98" s="2">
        <v>2</v>
      </c>
      <c r="Q98" t="s">
        <v>112</v>
      </c>
      <c r="R98" t="s">
        <v>3</v>
      </c>
      <c r="S98" s="1" t="str">
        <f>MID(Table11[[#This Row],[Monthly plan / 月度计划]],1,2)</f>
        <v>YR</v>
      </c>
      <c r="T98" s="1" t="str">
        <f>MID(Table11[[#This Row],[Monthly plan / 月度计划]],4,4)</f>
        <v>0906</v>
      </c>
      <c r="U98" s="1" t="s">
        <v>42</v>
      </c>
      <c r="Y98" t="b">
        <v>0</v>
      </c>
    </row>
    <row r="99" spans="13:25" ht="14.4" customHeight="1" x14ac:dyDescent="0.3">
      <c r="M99" s="3">
        <v>46120</v>
      </c>
      <c r="N99">
        <v>4</v>
      </c>
      <c r="O99" s="2">
        <v>2</v>
      </c>
      <c r="Q99" t="s">
        <v>112</v>
      </c>
      <c r="R99" t="s">
        <v>3</v>
      </c>
      <c r="S99" s="1" t="str">
        <f>MID(Table11[[#This Row],[Monthly plan / 月度计划]],1,2)</f>
        <v>YR</v>
      </c>
      <c r="T99" s="1" t="str">
        <f>MID(Table11[[#This Row],[Monthly plan / 月度计划]],4,4)</f>
        <v>0890</v>
      </c>
      <c r="U99" s="1" t="s">
        <v>77</v>
      </c>
      <c r="Y99" t="b">
        <v>0</v>
      </c>
    </row>
    <row r="100" spans="13:25" ht="14.4" customHeight="1" x14ac:dyDescent="0.3">
      <c r="M100" s="3">
        <v>46121</v>
      </c>
      <c r="N100">
        <v>4</v>
      </c>
      <c r="O100" s="2">
        <v>3</v>
      </c>
      <c r="Q100" t="s">
        <v>112</v>
      </c>
      <c r="R100" t="s">
        <v>3</v>
      </c>
      <c r="S100" s="1" t="str">
        <f>MID(Table11[[#This Row],[Monthly plan / 月度计划]],1,2)</f>
        <v>YR</v>
      </c>
      <c r="T100" s="1" t="str">
        <f>MID(Table11[[#This Row],[Monthly plan / 月度计划]],4,4)</f>
        <v>0886</v>
      </c>
      <c r="U100" s="1" t="s">
        <v>41</v>
      </c>
      <c r="Y100" t="b">
        <v>0</v>
      </c>
    </row>
    <row r="101" spans="13:25" ht="14.4" customHeight="1" x14ac:dyDescent="0.3">
      <c r="M101" s="3">
        <v>46122</v>
      </c>
      <c r="N101">
        <v>4</v>
      </c>
      <c r="O101" s="2">
        <v>3</v>
      </c>
      <c r="Q101" t="s">
        <v>112</v>
      </c>
      <c r="R101" t="s">
        <v>3</v>
      </c>
      <c r="S101" s="1" t="str">
        <f>MID(Table11[[#This Row],[Monthly plan / 月度计划]],1,2)</f>
        <v>YR</v>
      </c>
      <c r="T101" s="1" t="str">
        <f>MID(Table11[[#This Row],[Monthly plan / 月度计划]],4,4)</f>
        <v>0886</v>
      </c>
      <c r="U101" s="1" t="s">
        <v>76</v>
      </c>
      <c r="Y101" t="b">
        <v>0</v>
      </c>
    </row>
    <row r="102" spans="13:25" ht="14.4" customHeight="1" x14ac:dyDescent="0.3">
      <c r="M102" s="3">
        <v>46123</v>
      </c>
      <c r="N102">
        <v>4</v>
      </c>
      <c r="O102" s="2">
        <v>3</v>
      </c>
      <c r="Q102" t="s">
        <v>112</v>
      </c>
      <c r="R102" t="s">
        <v>3</v>
      </c>
      <c r="S102" s="1" t="str">
        <f>MID(Table11[[#This Row],[Monthly plan / 月度计划]],1,2)</f>
        <v>YR</v>
      </c>
      <c r="T102" s="1" t="str">
        <f>MID(Table11[[#This Row],[Monthly plan / 月度计划]],4,4)</f>
        <v>0926</v>
      </c>
      <c r="U102" s="1" t="s">
        <v>101</v>
      </c>
      <c r="Y102" t="b">
        <v>0</v>
      </c>
    </row>
    <row r="103" spans="13:25" ht="14.4" customHeight="1" x14ac:dyDescent="0.3">
      <c r="M103" s="3">
        <v>46124</v>
      </c>
      <c r="N103">
        <v>4</v>
      </c>
      <c r="O103" s="2">
        <v>3</v>
      </c>
      <c r="Q103" t="s">
        <v>112</v>
      </c>
      <c r="R103" t="s">
        <v>3</v>
      </c>
      <c r="S103" s="1" t="str">
        <f>MID(Table11[[#This Row],[Monthly plan / 月度计划]],1,2)</f>
        <v>YR</v>
      </c>
      <c r="T103" s="1" t="str">
        <f>MID(Table11[[#This Row],[Monthly plan / 月度计划]],4,4)</f>
        <v>0906</v>
      </c>
      <c r="U103" s="1" t="s">
        <v>100</v>
      </c>
      <c r="Y103" t="b">
        <v>0</v>
      </c>
    </row>
    <row r="104" spans="13:25" ht="14.4" customHeight="1" x14ac:dyDescent="0.3">
      <c r="M104" s="3">
        <v>46125</v>
      </c>
      <c r="N104">
        <v>4</v>
      </c>
      <c r="O104" s="2">
        <v>3</v>
      </c>
      <c r="Q104" t="s">
        <v>112</v>
      </c>
      <c r="R104" t="s">
        <v>3</v>
      </c>
      <c r="S104" s="1" t="str">
        <f>MID(Table11[[#This Row],[Monthly plan / 月度计划]],1,2)</f>
        <v>VS</v>
      </c>
      <c r="T104" s="1" t="str">
        <f>MID(Table11[[#This Row],[Monthly plan / 月度计划]],4,4)</f>
        <v>0905</v>
      </c>
      <c r="U104" s="1" t="s">
        <v>29</v>
      </c>
      <c r="Y104" t="b">
        <v>0</v>
      </c>
    </row>
    <row r="105" spans="13:25" ht="14.4" customHeight="1" x14ac:dyDescent="0.3">
      <c r="M105" s="3">
        <v>46126</v>
      </c>
      <c r="N105">
        <v>4</v>
      </c>
      <c r="O105" s="2">
        <v>3</v>
      </c>
      <c r="Q105" t="s">
        <v>112</v>
      </c>
      <c r="R105" t="s">
        <v>3</v>
      </c>
      <c r="S105" s="1" t="str">
        <f>MID(Table11[[#This Row],[Monthly plan / 月度计划]],1,2)</f>
        <v>VS</v>
      </c>
      <c r="T105" s="1" t="str">
        <f>MID(Table11[[#This Row],[Monthly plan / 月度计划]],4,4)</f>
        <v>0905</v>
      </c>
      <c r="U105" s="1" t="s">
        <v>99</v>
      </c>
      <c r="Y105" t="b">
        <v>0</v>
      </c>
    </row>
    <row r="106" spans="13:25" ht="14.4" customHeight="1" x14ac:dyDescent="0.3">
      <c r="M106" s="3">
        <v>46127</v>
      </c>
      <c r="N106">
        <v>4</v>
      </c>
      <c r="O106" s="2">
        <v>3</v>
      </c>
      <c r="Q106" t="s">
        <v>112</v>
      </c>
      <c r="R106" t="s">
        <v>3</v>
      </c>
      <c r="S106" s="1" t="str">
        <f>MID(Table11[[#This Row],[Monthly plan / 月度计划]],1,2)</f>
        <v>VS</v>
      </c>
      <c r="T106" s="1" t="str">
        <f>MID(Table11[[#This Row],[Monthly plan / 月度计划]],4,4)</f>
        <v>0885</v>
      </c>
      <c r="U106" s="1" t="s">
        <v>70</v>
      </c>
      <c r="Y106" t="b">
        <v>0</v>
      </c>
    </row>
    <row r="107" spans="13:25" ht="14.4" customHeight="1" x14ac:dyDescent="0.3">
      <c r="M107" s="3">
        <v>46128</v>
      </c>
      <c r="N107">
        <v>4</v>
      </c>
      <c r="O107" s="2">
        <v>4</v>
      </c>
      <c r="Q107" t="s">
        <v>112</v>
      </c>
      <c r="R107" t="s">
        <v>3</v>
      </c>
      <c r="S107" s="1" t="str">
        <f>MID(Table11[[#This Row],[Monthly plan / 月度计划]],1,2)</f>
        <v>VS</v>
      </c>
      <c r="T107" s="1" t="str">
        <f>MID(Table11[[#This Row],[Monthly plan / 月度计划]],4,4)</f>
        <v>0885</v>
      </c>
      <c r="U107" s="1" t="s">
        <v>27</v>
      </c>
      <c r="Y107" t="b">
        <v>0</v>
      </c>
    </row>
    <row r="108" spans="13:25" ht="14.4" customHeight="1" x14ac:dyDescent="0.3">
      <c r="M108" s="3">
        <v>46129</v>
      </c>
      <c r="N108">
        <v>4</v>
      </c>
      <c r="O108" s="2">
        <v>4</v>
      </c>
      <c r="Q108" t="s">
        <v>112</v>
      </c>
      <c r="R108" t="s">
        <v>3</v>
      </c>
      <c r="S108" s="1" t="str">
        <f>MID(Table11[[#This Row],[Monthly plan / 月度计划]],1,2)</f>
        <v>VS</v>
      </c>
      <c r="T108" s="1" t="str">
        <f>MID(Table11[[#This Row],[Monthly plan / 月度计划]],4,4)</f>
        <v>0865</v>
      </c>
      <c r="U108" s="1" t="s">
        <v>69</v>
      </c>
      <c r="Y108" t="b">
        <v>0</v>
      </c>
    </row>
    <row r="109" spans="13:25" ht="14.4" customHeight="1" x14ac:dyDescent="0.3">
      <c r="M109" s="3">
        <v>46130</v>
      </c>
      <c r="N109">
        <v>4</v>
      </c>
      <c r="O109" s="2">
        <v>4</v>
      </c>
      <c r="Q109" t="s">
        <v>112</v>
      </c>
      <c r="R109" t="s">
        <v>3</v>
      </c>
      <c r="S109" s="1" t="str">
        <f>MID(Table11[[#This Row],[Monthly plan / 月度计划]],1,2)</f>
        <v>VS</v>
      </c>
      <c r="T109" s="1" t="str">
        <f>MID(Table11[[#This Row],[Monthly plan / 月度计划]],4,4)</f>
        <v>0905</v>
      </c>
      <c r="U109" s="1" t="s">
        <v>98</v>
      </c>
      <c r="Y109" t="b">
        <v>0</v>
      </c>
    </row>
    <row r="110" spans="13:25" ht="14.4" customHeight="1" x14ac:dyDescent="0.3">
      <c r="M110" s="3">
        <v>46131</v>
      </c>
      <c r="N110">
        <v>4</v>
      </c>
      <c r="O110" s="2">
        <v>4</v>
      </c>
      <c r="Q110" t="s">
        <v>112</v>
      </c>
      <c r="R110" t="s">
        <v>3</v>
      </c>
      <c r="S110" s="1" t="str">
        <f>MID(Table11[[#This Row],[Monthly plan / 月度计划]],1,2)</f>
        <v>VS</v>
      </c>
      <c r="T110" s="1" t="str">
        <f>MID(Table11[[#This Row],[Monthly plan / 月度计划]],4,4)</f>
        <v>0885</v>
      </c>
      <c r="U110" s="1" t="s">
        <v>26</v>
      </c>
      <c r="Y110" t="b">
        <v>0</v>
      </c>
    </row>
    <row r="111" spans="13:25" ht="14.4" customHeight="1" x14ac:dyDescent="0.3">
      <c r="M111" s="3">
        <v>46132</v>
      </c>
      <c r="N111">
        <v>4</v>
      </c>
      <c r="O111" s="2">
        <v>4</v>
      </c>
      <c r="Q111" t="s">
        <v>112</v>
      </c>
      <c r="R111" t="s">
        <v>3</v>
      </c>
      <c r="S111" s="1" t="str">
        <f>MID(Table11[[#This Row],[Monthly plan / 月度计划]],1,2)</f>
        <v>VS</v>
      </c>
      <c r="T111" s="1" t="str">
        <f>MID(Table11[[#This Row],[Monthly plan / 月度计划]],4,4)</f>
        <v>0885</v>
      </c>
      <c r="U111" s="1" t="s">
        <v>67</v>
      </c>
      <c r="Y111" t="b">
        <v>0</v>
      </c>
    </row>
    <row r="112" spans="13:25" ht="14.4" customHeight="1" x14ac:dyDescent="0.3">
      <c r="M112" s="3">
        <v>46133</v>
      </c>
      <c r="N112">
        <v>4</v>
      </c>
      <c r="O112" s="2">
        <v>4</v>
      </c>
      <c r="Q112" t="s">
        <v>97</v>
      </c>
      <c r="R112" t="s">
        <v>8</v>
      </c>
      <c r="S112" s="1" t="str">
        <f>MID(Table11[[#This Row],[Monthly plan / 月度计划]],1,2)</f>
        <v>VS</v>
      </c>
      <c r="T112" s="1" t="str">
        <f>MID(Table11[[#This Row],[Monthly plan / 月度计划]],4,4)</f>
        <v>0966</v>
      </c>
      <c r="U112" s="1" t="s">
        <v>94</v>
      </c>
      <c r="Y112" t="b">
        <v>0</v>
      </c>
    </row>
    <row r="113" spans="13:25" ht="14.4" customHeight="1" x14ac:dyDescent="0.3">
      <c r="M113" s="3">
        <v>46134</v>
      </c>
      <c r="N113">
        <v>4</v>
      </c>
      <c r="O113" s="2">
        <v>4</v>
      </c>
      <c r="Q113" t="s">
        <v>97</v>
      </c>
      <c r="R113" t="s">
        <v>8</v>
      </c>
      <c r="S113" s="1" t="str">
        <f>MID(Table11[[#This Row],[Monthly plan / 月度计划]],1,2)</f>
        <v>VS</v>
      </c>
      <c r="T113" s="1" t="str">
        <f>MID(Table11[[#This Row],[Monthly plan / 月度计划]],4,4)</f>
        <v>0946</v>
      </c>
      <c r="U113" s="1" t="s">
        <v>65</v>
      </c>
      <c r="Y113" t="b">
        <v>0</v>
      </c>
    </row>
    <row r="114" spans="13:25" ht="14.4" customHeight="1" x14ac:dyDescent="0.3">
      <c r="M114" s="3">
        <v>46135</v>
      </c>
      <c r="N114">
        <v>4</v>
      </c>
      <c r="O114" s="2">
        <v>4</v>
      </c>
      <c r="Q114" t="s">
        <v>97</v>
      </c>
      <c r="R114" t="s">
        <v>8</v>
      </c>
      <c r="S114" s="1" t="str">
        <f>MID(Table11[[#This Row],[Monthly plan / 月度计划]],1,2)</f>
        <v>VS</v>
      </c>
      <c r="T114" s="1" t="str">
        <f>MID(Table11[[#This Row],[Monthly plan / 月度计划]],4,4)</f>
        <v>0946</v>
      </c>
      <c r="U114" s="1" t="s">
        <v>64</v>
      </c>
      <c r="Y114" t="b">
        <v>0</v>
      </c>
    </row>
    <row r="115" spans="13:25" ht="14.4" customHeight="1" x14ac:dyDescent="0.3">
      <c r="M115" s="3">
        <v>46136</v>
      </c>
      <c r="N115">
        <v>4</v>
      </c>
      <c r="O115" s="2">
        <v>4</v>
      </c>
      <c r="Q115" t="s">
        <v>97</v>
      </c>
      <c r="R115" t="s">
        <v>8</v>
      </c>
      <c r="S115" s="1" t="str">
        <f>MID(Table11[[#This Row],[Monthly plan / 月度计划]],1,2)</f>
        <v>VS</v>
      </c>
      <c r="T115" s="1" t="str">
        <f>MID(Table11[[#This Row],[Monthly plan / 月度计划]],4,4)</f>
        <v>0906</v>
      </c>
      <c r="U115" s="1" t="s">
        <v>63</v>
      </c>
      <c r="Y115" t="b">
        <v>0</v>
      </c>
    </row>
    <row r="116" spans="13:25" ht="14.4" customHeight="1" x14ac:dyDescent="0.3">
      <c r="M116" s="3">
        <v>46137</v>
      </c>
      <c r="N116">
        <v>4</v>
      </c>
      <c r="O116" s="2">
        <v>4</v>
      </c>
      <c r="Q116" t="s">
        <v>97</v>
      </c>
      <c r="R116" t="s">
        <v>8</v>
      </c>
      <c r="S116" s="1" t="str">
        <f>MID(Table11[[#This Row],[Monthly plan / 月度计划]],1,2)</f>
        <v>VS</v>
      </c>
      <c r="T116" s="1" t="str">
        <f>MID(Table11[[#This Row],[Monthly plan / 月度计划]],4,4)</f>
        <v>0906</v>
      </c>
      <c r="U116" s="1" t="s">
        <v>93</v>
      </c>
      <c r="Y116" t="b">
        <v>0</v>
      </c>
    </row>
    <row r="117" spans="13:25" ht="14.4" customHeight="1" x14ac:dyDescent="0.3">
      <c r="M117" s="3">
        <v>46138</v>
      </c>
      <c r="N117">
        <v>4</v>
      </c>
      <c r="O117" s="2">
        <v>1</v>
      </c>
      <c r="Q117" t="s">
        <v>97</v>
      </c>
      <c r="R117" t="s">
        <v>8</v>
      </c>
      <c r="S117" s="1" t="str">
        <f>MID(Table11[[#This Row],[Monthly plan / 月度计划]],1,2)</f>
        <v>VS</v>
      </c>
      <c r="T117" s="1" t="str">
        <f>MID(Table11[[#This Row],[Monthly plan / 月度计划]],4,4)</f>
        <v>0886</v>
      </c>
      <c r="U117" s="1" t="s">
        <v>54</v>
      </c>
      <c r="Y117" t="b">
        <v>0</v>
      </c>
    </row>
    <row r="118" spans="13:25" ht="14.4" customHeight="1" x14ac:dyDescent="0.3">
      <c r="M118" s="3">
        <v>46139</v>
      </c>
      <c r="N118">
        <v>4</v>
      </c>
      <c r="O118" s="2">
        <v>1</v>
      </c>
      <c r="Q118" t="s">
        <v>97</v>
      </c>
      <c r="R118" t="s">
        <v>8</v>
      </c>
      <c r="S118" s="1" t="str">
        <f>MID(Table11[[#This Row],[Monthly plan / 月度计划]],1,2)</f>
        <v>VS</v>
      </c>
      <c r="T118" s="1" t="str">
        <f>MID(Table11[[#This Row],[Monthly plan / 月度计划]],4,4)</f>
        <v>0886</v>
      </c>
      <c r="U118" s="1" t="s">
        <v>62</v>
      </c>
      <c r="Y118" t="b">
        <v>0</v>
      </c>
    </row>
    <row r="119" spans="13:25" ht="14.4" customHeight="1" x14ac:dyDescent="0.3">
      <c r="M119" s="3">
        <v>46140</v>
      </c>
      <c r="N119">
        <v>4</v>
      </c>
      <c r="O119" s="2">
        <v>1</v>
      </c>
      <c r="Q119" t="s">
        <v>97</v>
      </c>
      <c r="R119" t="s">
        <v>8</v>
      </c>
      <c r="S119" s="1" t="str">
        <f>MID(Table11[[#This Row],[Monthly plan / 月度计划]],1,2)</f>
        <v>VS</v>
      </c>
      <c r="T119" s="1" t="str">
        <f>MID(Table11[[#This Row],[Monthly plan / 月度计划]],4,4)</f>
        <v>0866</v>
      </c>
      <c r="U119" s="1" t="s">
        <v>96</v>
      </c>
      <c r="Y119" t="b">
        <v>0</v>
      </c>
    </row>
    <row r="120" spans="13:25" ht="14.4" customHeight="1" x14ac:dyDescent="0.3">
      <c r="M120" s="3">
        <v>46141</v>
      </c>
      <c r="N120">
        <v>4</v>
      </c>
      <c r="O120" s="2">
        <v>1</v>
      </c>
      <c r="Q120" t="s">
        <v>97</v>
      </c>
      <c r="R120" t="s">
        <v>8</v>
      </c>
      <c r="S120" s="1" t="str">
        <f>MID(Table11[[#This Row],[Monthly plan / 月度计划]],1,2)</f>
        <v>VS</v>
      </c>
      <c r="T120" s="1" t="str">
        <f>MID(Table11[[#This Row],[Monthly plan / 月度计划]],4,4)</f>
        <v>0866</v>
      </c>
      <c r="U120" s="1" t="s">
        <v>59</v>
      </c>
      <c r="Y120" t="b">
        <v>0</v>
      </c>
    </row>
    <row r="121" spans="13:25" ht="14.4" customHeight="1" x14ac:dyDescent="0.3">
      <c r="M121" s="3">
        <v>46142</v>
      </c>
      <c r="N121">
        <v>4</v>
      </c>
      <c r="O121" s="2">
        <v>1</v>
      </c>
      <c r="Q121" t="s">
        <v>97</v>
      </c>
      <c r="R121" t="s">
        <v>8</v>
      </c>
      <c r="S121" s="1" t="str">
        <f>MID(Table11[[#This Row],[Monthly plan / 月度计划]],1,2)</f>
        <v>VS</v>
      </c>
      <c r="T121" s="1" t="str">
        <f>MID(Table11[[#This Row],[Monthly plan / 月度计划]],4,4)</f>
        <v>0866</v>
      </c>
      <c r="U121" s="1" t="s">
        <v>89</v>
      </c>
      <c r="Y121" t="b">
        <v>0</v>
      </c>
    </row>
    <row r="122" spans="13:25" ht="14.4" customHeight="1" x14ac:dyDescent="0.3">
      <c r="M122" s="3">
        <v>46143</v>
      </c>
      <c r="N122">
        <v>5</v>
      </c>
      <c r="O122" s="2">
        <v>1</v>
      </c>
      <c r="Q122" t="s">
        <v>97</v>
      </c>
      <c r="R122" t="s">
        <v>8</v>
      </c>
      <c r="S122" s="1" t="str">
        <f>MID(Table11[[#This Row],[Monthly plan / 月度计划]],1,2)</f>
        <v>VS</v>
      </c>
      <c r="T122" s="1" t="str">
        <f>MID(Table11[[#This Row],[Monthly plan / 月度计划]],4,4)</f>
        <v>0846</v>
      </c>
      <c r="U122" s="1" t="s">
        <v>88</v>
      </c>
      <c r="Y122" t="b">
        <v>0</v>
      </c>
    </row>
    <row r="123" spans="13:25" ht="14.4" customHeight="1" x14ac:dyDescent="0.3">
      <c r="M123" s="3">
        <v>46144</v>
      </c>
      <c r="N123">
        <v>5</v>
      </c>
      <c r="O123" s="2">
        <v>1</v>
      </c>
      <c r="Q123" t="s">
        <v>97</v>
      </c>
      <c r="R123" t="s">
        <v>8</v>
      </c>
      <c r="S123" s="1" t="str">
        <f>MID(Table11[[#This Row],[Monthly plan / 月度计划]],1,2)</f>
        <v>VS</v>
      </c>
      <c r="T123" s="1" t="str">
        <f>MID(Table11[[#This Row],[Monthly plan / 月度计划]],4,4)</f>
        <v>1015</v>
      </c>
      <c r="U123" s="1" t="s">
        <v>87</v>
      </c>
      <c r="Y123" t="b">
        <v>0</v>
      </c>
    </row>
    <row r="124" spans="13:25" ht="14.4" customHeight="1" x14ac:dyDescent="0.3">
      <c r="M124" s="3">
        <v>46145</v>
      </c>
      <c r="N124">
        <v>5</v>
      </c>
      <c r="O124" s="2">
        <v>2</v>
      </c>
      <c r="Q124" t="s">
        <v>97</v>
      </c>
      <c r="R124" t="s">
        <v>8</v>
      </c>
      <c r="S124" s="1" t="str">
        <f>MID(Table11[[#This Row],[Monthly plan / 月度计划]],1,2)</f>
        <v>VS</v>
      </c>
      <c r="T124" s="1" t="str">
        <f>MID(Table11[[#This Row],[Monthly plan / 月度计划]],4,4)</f>
        <v>1015</v>
      </c>
      <c r="U124" s="1" t="s">
        <v>5</v>
      </c>
      <c r="Y124" t="b">
        <v>0</v>
      </c>
    </row>
    <row r="125" spans="13:25" ht="14.4" customHeight="1" x14ac:dyDescent="0.3">
      <c r="M125" s="3">
        <v>46146</v>
      </c>
      <c r="N125">
        <v>5</v>
      </c>
      <c r="O125" s="2">
        <v>2</v>
      </c>
      <c r="Q125" t="s">
        <v>97</v>
      </c>
      <c r="R125" t="s">
        <v>8</v>
      </c>
      <c r="S125" s="1" t="str">
        <f>MID(Table11[[#This Row],[Monthly plan / 月度计划]],1,2)</f>
        <v>VS</v>
      </c>
      <c r="T125" s="1" t="str">
        <f>MID(Table11[[#This Row],[Monthly plan / 月度计划]],4,4)</f>
        <v>0986</v>
      </c>
      <c r="U125" s="1" t="s">
        <v>52</v>
      </c>
      <c r="Y125" t="b">
        <v>0</v>
      </c>
    </row>
    <row r="126" spans="13:25" ht="14.4" customHeight="1" x14ac:dyDescent="0.3">
      <c r="M126" s="3">
        <v>46147</v>
      </c>
      <c r="N126">
        <v>5</v>
      </c>
      <c r="O126" s="2">
        <v>2</v>
      </c>
      <c r="Q126" t="s">
        <v>97</v>
      </c>
      <c r="R126" t="s">
        <v>8</v>
      </c>
      <c r="S126" s="1" t="str">
        <f>MID(Table11[[#This Row],[Monthly plan / 月度计划]],1,2)</f>
        <v>VS</v>
      </c>
      <c r="T126" s="1" t="str">
        <f>MID(Table11[[#This Row],[Monthly plan / 月度计划]],4,4)</f>
        <v>0986</v>
      </c>
      <c r="U126" s="1" t="s">
        <v>51</v>
      </c>
      <c r="Y126" t="b">
        <v>0</v>
      </c>
    </row>
    <row r="127" spans="13:25" ht="14.4" customHeight="1" x14ac:dyDescent="0.3">
      <c r="M127" s="3">
        <v>46148</v>
      </c>
      <c r="N127">
        <v>5</v>
      </c>
      <c r="O127" s="2">
        <v>2</v>
      </c>
      <c r="Q127" t="s">
        <v>97</v>
      </c>
      <c r="R127" t="s">
        <v>8</v>
      </c>
      <c r="S127" s="1" t="str">
        <f>MID(Table11[[#This Row],[Monthly plan / 月度计划]],1,2)</f>
        <v>VS</v>
      </c>
      <c r="T127" s="1" t="str">
        <f>MID(Table11[[#This Row],[Monthly plan / 月度计划]],4,4)</f>
        <v>0966</v>
      </c>
      <c r="U127" s="1" t="s">
        <v>49</v>
      </c>
      <c r="Y127" t="b">
        <v>0</v>
      </c>
    </row>
    <row r="128" spans="13:25" ht="14.4" customHeight="1" x14ac:dyDescent="0.3">
      <c r="M128" s="3">
        <v>46149</v>
      </c>
      <c r="N128">
        <v>5</v>
      </c>
      <c r="O128" s="2">
        <v>2</v>
      </c>
      <c r="Q128" t="s">
        <v>97</v>
      </c>
      <c r="R128" t="s">
        <v>8</v>
      </c>
      <c r="S128" s="1" t="str">
        <f>MID(Table11[[#This Row],[Monthly plan / 月度计划]],1,2)</f>
        <v>VS</v>
      </c>
      <c r="T128" s="1" t="str">
        <f>MID(Table11[[#This Row],[Monthly plan / 月度计划]],4,4)</f>
        <v>0946</v>
      </c>
      <c r="U128" s="1" t="s">
        <v>86</v>
      </c>
      <c r="Y128" t="b">
        <v>0</v>
      </c>
    </row>
    <row r="129" spans="13:25" ht="14.4" customHeight="1" x14ac:dyDescent="0.3">
      <c r="M129" s="3">
        <v>46150</v>
      </c>
      <c r="N129">
        <v>5</v>
      </c>
      <c r="O129" s="2">
        <v>2</v>
      </c>
      <c r="Q129" t="s">
        <v>97</v>
      </c>
      <c r="R129" t="s">
        <v>8</v>
      </c>
      <c r="S129" s="1" t="str">
        <f>MID(Table11[[#This Row],[Monthly plan / 月度计划]],1,2)</f>
        <v>VS</v>
      </c>
      <c r="T129" s="1" t="str">
        <f>MID(Table11[[#This Row],[Monthly plan / 月度计划]],4,4)</f>
        <v>0906</v>
      </c>
      <c r="U129" s="1" t="s">
        <v>85</v>
      </c>
      <c r="Y129" t="b">
        <v>0</v>
      </c>
    </row>
    <row r="130" spans="13:25" ht="14.4" customHeight="1" x14ac:dyDescent="0.3">
      <c r="M130" s="3">
        <v>46151</v>
      </c>
      <c r="N130">
        <v>5</v>
      </c>
      <c r="O130" s="2">
        <v>2</v>
      </c>
      <c r="Q130" t="s">
        <v>97</v>
      </c>
      <c r="R130" t="s">
        <v>8</v>
      </c>
      <c r="S130" s="1" t="str">
        <f>MID(Table11[[#This Row],[Monthly plan / 月度计划]],1,2)</f>
        <v>VS</v>
      </c>
      <c r="T130" s="1" t="str">
        <f>MID(Table11[[#This Row],[Monthly plan / 月度计划]],4,4)</f>
        <v>0906</v>
      </c>
      <c r="U130" s="1" t="s">
        <v>84</v>
      </c>
      <c r="Y130" t="b">
        <v>0</v>
      </c>
    </row>
    <row r="131" spans="13:25" ht="14.4" customHeight="1" x14ac:dyDescent="0.3">
      <c r="M131" s="3">
        <v>46152</v>
      </c>
      <c r="N131">
        <v>5</v>
      </c>
      <c r="O131" s="2">
        <v>3</v>
      </c>
      <c r="Q131" t="s">
        <v>97</v>
      </c>
      <c r="R131" t="s">
        <v>8</v>
      </c>
      <c r="S131" s="1" t="str">
        <f>MID(Table11[[#This Row],[Monthly plan / 月度计划]],1,2)</f>
        <v>VS</v>
      </c>
      <c r="T131" s="1" t="str">
        <f>MID(Table11[[#This Row],[Monthly plan / 月度计划]],4,4)</f>
        <v>0906</v>
      </c>
      <c r="U131" s="1" t="s">
        <v>83</v>
      </c>
      <c r="Y131" t="b">
        <v>0</v>
      </c>
    </row>
    <row r="132" spans="13:25" ht="14.4" customHeight="1" x14ac:dyDescent="0.3">
      <c r="M132" s="3">
        <v>46153</v>
      </c>
      <c r="N132">
        <v>5</v>
      </c>
      <c r="O132" s="2">
        <v>3</v>
      </c>
      <c r="Q132" t="s">
        <v>97</v>
      </c>
      <c r="R132" t="s">
        <v>8</v>
      </c>
      <c r="S132" s="1" t="str">
        <f>MID(Table11[[#This Row],[Monthly plan / 月度计划]],1,2)</f>
        <v>VS</v>
      </c>
      <c r="T132" s="1" t="str">
        <f>MID(Table11[[#This Row],[Monthly plan / 月度计划]],4,4)</f>
        <v>1000</v>
      </c>
      <c r="U132" s="1" t="s">
        <v>82</v>
      </c>
      <c r="Y132" t="b">
        <v>0</v>
      </c>
    </row>
    <row r="133" spans="13:25" ht="14.4" customHeight="1" x14ac:dyDescent="0.3">
      <c r="M133" s="3">
        <v>46154</v>
      </c>
      <c r="N133">
        <v>5</v>
      </c>
      <c r="O133" s="2">
        <v>3</v>
      </c>
      <c r="Q133" t="s">
        <v>97</v>
      </c>
      <c r="R133" t="s">
        <v>8</v>
      </c>
      <c r="S133" s="1" t="str">
        <f>MID(Table11[[#This Row],[Monthly plan / 月度计划]],1,2)</f>
        <v>VS</v>
      </c>
      <c r="T133" s="1" t="str">
        <f>MID(Table11[[#This Row],[Monthly plan / 月度计划]],4,4)</f>
        <v>1000</v>
      </c>
      <c r="U133" s="1" t="s">
        <v>6</v>
      </c>
      <c r="Y133" t="b">
        <v>0</v>
      </c>
    </row>
    <row r="134" spans="13:25" ht="14.4" customHeight="1" x14ac:dyDescent="0.3">
      <c r="M134" s="3">
        <v>46155</v>
      </c>
      <c r="N134">
        <v>5</v>
      </c>
      <c r="O134" s="2">
        <v>3</v>
      </c>
      <c r="Q134" t="s">
        <v>97</v>
      </c>
      <c r="R134" t="s">
        <v>8</v>
      </c>
      <c r="S134" s="1" t="str">
        <f>MID(Table11[[#This Row],[Monthly plan / 月度计划]],1,2)</f>
        <v>VS</v>
      </c>
      <c r="T134" s="1" t="str">
        <f>MID(Table11[[#This Row],[Monthly plan / 月度计划]],4,4)</f>
        <v>0986</v>
      </c>
      <c r="U134" s="1" t="s">
        <v>81</v>
      </c>
      <c r="Y134" t="b">
        <v>0</v>
      </c>
    </row>
    <row r="135" spans="13:25" ht="14.4" customHeight="1" x14ac:dyDescent="0.3">
      <c r="M135" s="3">
        <v>46156</v>
      </c>
      <c r="N135">
        <v>5</v>
      </c>
      <c r="O135" s="2">
        <v>3</v>
      </c>
      <c r="Q135" t="s">
        <v>97</v>
      </c>
      <c r="R135" t="s">
        <v>8</v>
      </c>
      <c r="S135" s="1" t="str">
        <f>MID(Table11[[#This Row],[Monthly plan / 月度计划]],1,2)</f>
        <v>VS</v>
      </c>
      <c r="T135" s="1" t="str">
        <f>MID(Table11[[#This Row],[Monthly plan / 月度计划]],4,4)</f>
        <v>0966</v>
      </c>
      <c r="U135" s="1" t="s">
        <v>80</v>
      </c>
      <c r="Y135" t="b">
        <v>0</v>
      </c>
    </row>
    <row r="136" spans="13:25" ht="14.4" customHeight="1" x14ac:dyDescent="0.3">
      <c r="M136" s="3">
        <v>46157</v>
      </c>
      <c r="N136">
        <v>5</v>
      </c>
      <c r="O136" s="2">
        <v>3</v>
      </c>
      <c r="Q136" t="s">
        <v>97</v>
      </c>
      <c r="R136" t="s">
        <v>8</v>
      </c>
      <c r="S136" s="1" t="str">
        <f>MID(Table11[[#This Row],[Monthly plan / 月度计划]],1,2)</f>
        <v>VS</v>
      </c>
      <c r="T136" s="1" t="str">
        <f>MID(Table11[[#This Row],[Monthly plan / 月度计划]],4,4)</f>
        <v>0966</v>
      </c>
      <c r="U136" s="1" t="s">
        <v>79</v>
      </c>
      <c r="Y136" t="b">
        <v>0</v>
      </c>
    </row>
    <row r="137" spans="13:25" ht="14.4" customHeight="1" x14ac:dyDescent="0.3">
      <c r="M137" s="3">
        <v>46158</v>
      </c>
      <c r="N137">
        <v>5</v>
      </c>
      <c r="O137" s="2">
        <v>3</v>
      </c>
      <c r="Q137" t="s">
        <v>97</v>
      </c>
      <c r="R137" t="s">
        <v>8</v>
      </c>
      <c r="S137" s="1" t="str">
        <f>MID(Table11[[#This Row],[Monthly plan / 月度计划]],1,2)</f>
        <v>VS</v>
      </c>
      <c r="T137" s="1" t="str">
        <f>MID(Table11[[#This Row],[Monthly plan / 月度计划]],4,4)</f>
        <v>0966</v>
      </c>
      <c r="U137" s="1" t="s">
        <v>48</v>
      </c>
      <c r="Y137" t="b">
        <v>0</v>
      </c>
    </row>
    <row r="138" spans="13:25" ht="14.4" customHeight="1" x14ac:dyDescent="0.3">
      <c r="M138" s="3">
        <v>46159</v>
      </c>
      <c r="N138">
        <v>5</v>
      </c>
      <c r="O138" s="2">
        <v>4</v>
      </c>
      <c r="Q138" t="s">
        <v>97</v>
      </c>
      <c r="R138" t="s">
        <v>8</v>
      </c>
      <c r="S138" s="1" t="str">
        <f>MID(Table11[[#This Row],[Monthly plan / 月度计划]],1,2)</f>
        <v>VS</v>
      </c>
      <c r="T138" s="1" t="str">
        <f>MID(Table11[[#This Row],[Monthly plan / 月度计划]],4,4)</f>
        <v>0926</v>
      </c>
      <c r="U138" s="1" t="s">
        <v>47</v>
      </c>
      <c r="Y138" t="b">
        <v>0</v>
      </c>
    </row>
    <row r="139" spans="13:25" ht="14.4" customHeight="1" x14ac:dyDescent="0.3">
      <c r="M139" s="3">
        <v>46160</v>
      </c>
      <c r="N139">
        <v>5</v>
      </c>
      <c r="O139" s="2">
        <v>4</v>
      </c>
      <c r="Q139" t="s">
        <v>97</v>
      </c>
      <c r="R139" t="s">
        <v>8</v>
      </c>
      <c r="S139" s="1" t="str">
        <f>MID(Table11[[#This Row],[Monthly plan / 月度计划]],1,2)</f>
        <v>YR</v>
      </c>
      <c r="T139" s="1" t="str">
        <f>MID(Table11[[#This Row],[Monthly plan / 月度计划]],4,4)</f>
        <v>0926</v>
      </c>
      <c r="U139" s="1" t="s">
        <v>44</v>
      </c>
      <c r="Y139" t="b">
        <v>0</v>
      </c>
    </row>
    <row r="140" spans="13:25" ht="14.4" customHeight="1" x14ac:dyDescent="0.3">
      <c r="M140" s="3">
        <v>46161</v>
      </c>
      <c r="N140">
        <v>5</v>
      </c>
      <c r="O140" s="2">
        <v>4</v>
      </c>
      <c r="Q140" t="s">
        <v>97</v>
      </c>
      <c r="R140" t="s">
        <v>8</v>
      </c>
      <c r="S140" s="1" t="str">
        <f>MID(Table11[[#This Row],[Monthly plan / 月度计划]],1,2)</f>
        <v>YR</v>
      </c>
      <c r="T140" s="1" t="str">
        <f>MID(Table11[[#This Row],[Monthly plan / 月度计划]],4,4)</f>
        <v>0926</v>
      </c>
      <c r="U140" s="1" t="s">
        <v>78</v>
      </c>
      <c r="Y140" t="b">
        <v>0</v>
      </c>
    </row>
    <row r="141" spans="13:25" ht="14.4" customHeight="1" x14ac:dyDescent="0.3">
      <c r="M141" s="3">
        <v>46162</v>
      </c>
      <c r="N141">
        <v>5</v>
      </c>
      <c r="O141" s="2">
        <v>4</v>
      </c>
      <c r="Q141" t="s">
        <v>97</v>
      </c>
      <c r="R141" t="s">
        <v>3</v>
      </c>
      <c r="S141" s="1" t="str">
        <f>MID(Table11[[#This Row],[Monthly plan / 月度计划]],1,2)</f>
        <v>YR</v>
      </c>
      <c r="T141" s="1" t="str">
        <f>MID(Table11[[#This Row],[Monthly plan / 月度计划]],4,4)</f>
        <v>0906</v>
      </c>
      <c r="U141" s="1" t="s">
        <v>43</v>
      </c>
      <c r="Y141" t="b">
        <v>0</v>
      </c>
    </row>
    <row r="142" spans="13:25" ht="14.4" customHeight="1" x14ac:dyDescent="0.3">
      <c r="M142" s="3">
        <v>46163</v>
      </c>
      <c r="N142">
        <v>5</v>
      </c>
      <c r="O142" s="2">
        <v>4</v>
      </c>
      <c r="Q142" t="s">
        <v>97</v>
      </c>
      <c r="R142" t="s">
        <v>3</v>
      </c>
      <c r="S142" s="1" t="str">
        <f>MID(Table11[[#This Row],[Monthly plan / 月度计划]],1,2)</f>
        <v>YR</v>
      </c>
      <c r="T142" s="1" t="str">
        <f>MID(Table11[[#This Row],[Monthly plan / 月度计划]],4,4)</f>
        <v>0890</v>
      </c>
      <c r="U142" s="1" t="s">
        <v>77</v>
      </c>
      <c r="Y142" t="b">
        <v>0</v>
      </c>
    </row>
    <row r="143" spans="13:25" ht="14.4" customHeight="1" x14ac:dyDescent="0.3">
      <c r="M143" s="3">
        <v>46164</v>
      </c>
      <c r="N143">
        <v>5</v>
      </c>
      <c r="O143" s="2">
        <v>4</v>
      </c>
      <c r="Q143" t="s">
        <v>97</v>
      </c>
      <c r="R143" t="s">
        <v>3</v>
      </c>
      <c r="S143" s="1" t="str">
        <f>MID(Table11[[#This Row],[Monthly plan / 月度计划]],1,2)</f>
        <v>YR</v>
      </c>
      <c r="T143" s="1" t="str">
        <f>MID(Table11[[#This Row],[Monthly plan / 月度计划]],4,4)</f>
        <v>0886</v>
      </c>
      <c r="U143" s="1" t="s">
        <v>41</v>
      </c>
      <c r="Y143" t="b">
        <v>0</v>
      </c>
    </row>
    <row r="144" spans="13:25" ht="14.4" customHeight="1" x14ac:dyDescent="0.3">
      <c r="M144" s="3">
        <v>46165</v>
      </c>
      <c r="N144">
        <v>5</v>
      </c>
      <c r="O144" s="2">
        <v>4</v>
      </c>
      <c r="Q144" t="s">
        <v>97</v>
      </c>
      <c r="R144" t="s">
        <v>3</v>
      </c>
      <c r="S144" s="1" t="str">
        <f>MID(Table11[[#This Row],[Monthly plan / 月度计划]],1,2)</f>
        <v>YR</v>
      </c>
      <c r="T144" s="1" t="str">
        <f>MID(Table11[[#This Row],[Monthly plan / 月度计划]],4,4)</f>
        <v>0886</v>
      </c>
      <c r="U144" s="1" t="s">
        <v>76</v>
      </c>
      <c r="Y144" t="b">
        <v>0</v>
      </c>
    </row>
    <row r="145" spans="13:25" ht="14.4" customHeight="1" x14ac:dyDescent="0.3">
      <c r="M145" s="3">
        <v>46166</v>
      </c>
      <c r="N145">
        <v>5</v>
      </c>
      <c r="O145" s="2">
        <v>4</v>
      </c>
      <c r="Q145" t="s">
        <v>97</v>
      </c>
      <c r="R145" t="s">
        <v>3</v>
      </c>
      <c r="S145" s="1" t="str">
        <f>MID(Table11[[#This Row],[Monthly plan / 月度计划]],1,2)</f>
        <v>YR</v>
      </c>
      <c r="T145" s="1" t="str">
        <f>MID(Table11[[#This Row],[Monthly plan / 月度计划]],4,4)</f>
        <v>0986</v>
      </c>
      <c r="U145" s="1" t="s">
        <v>36</v>
      </c>
      <c r="Y145" t="b">
        <v>0</v>
      </c>
    </row>
    <row r="146" spans="13:25" ht="14.4" customHeight="1" x14ac:dyDescent="0.3">
      <c r="M146" s="3">
        <v>46167</v>
      </c>
      <c r="N146">
        <v>5</v>
      </c>
      <c r="O146" s="2">
        <v>4</v>
      </c>
      <c r="Q146" t="s">
        <v>97</v>
      </c>
      <c r="R146" t="s">
        <v>3</v>
      </c>
      <c r="S146" s="1" t="str">
        <f>MID(Table11[[#This Row],[Monthly plan / 月度计划]],1,2)</f>
        <v>YR</v>
      </c>
      <c r="T146" s="1" t="str">
        <f>MID(Table11[[#This Row],[Monthly plan / 月度计划]],4,4)</f>
        <v>0986</v>
      </c>
      <c r="U146" s="1" t="s">
        <v>35</v>
      </c>
      <c r="Y146" t="b">
        <v>0</v>
      </c>
    </row>
    <row r="147" spans="13:25" ht="14.4" customHeight="1" x14ac:dyDescent="0.3">
      <c r="M147" s="3">
        <v>46168</v>
      </c>
      <c r="N147">
        <v>5</v>
      </c>
      <c r="O147" s="2">
        <v>1</v>
      </c>
      <c r="Q147" t="s">
        <v>97</v>
      </c>
      <c r="R147" t="s">
        <v>3</v>
      </c>
      <c r="S147" s="1" t="str">
        <f>MID(Table11[[#This Row],[Monthly plan / 月度计划]],1,2)</f>
        <v>YR</v>
      </c>
      <c r="T147" s="1" t="str">
        <f>MID(Table11[[#This Row],[Monthly plan / 月度计划]],4,4)</f>
        <v>0946</v>
      </c>
      <c r="U147" s="1" t="s">
        <v>37</v>
      </c>
      <c r="Y147" t="b">
        <v>0</v>
      </c>
    </row>
    <row r="148" spans="13:25" ht="14.4" customHeight="1" x14ac:dyDescent="0.3">
      <c r="M148" s="3">
        <v>46169</v>
      </c>
      <c r="N148">
        <v>5</v>
      </c>
      <c r="O148" s="2">
        <v>1</v>
      </c>
      <c r="Q148" t="s">
        <v>97</v>
      </c>
      <c r="R148" t="s">
        <v>3</v>
      </c>
      <c r="S148" s="1" t="str">
        <f>MID(Table11[[#This Row],[Monthly plan / 月度计划]],1,2)</f>
        <v>YR</v>
      </c>
      <c r="T148" s="1" t="str">
        <f>MID(Table11[[#This Row],[Monthly plan / 月度计划]],4,4)</f>
        <v>0946</v>
      </c>
      <c r="U148" s="1" t="s">
        <v>32</v>
      </c>
      <c r="Y148" t="b">
        <v>0</v>
      </c>
    </row>
    <row r="149" spans="13:25" ht="14.4" customHeight="1" x14ac:dyDescent="0.3">
      <c r="M149" s="3">
        <v>46170</v>
      </c>
      <c r="N149">
        <v>5</v>
      </c>
      <c r="O149" s="2">
        <v>1</v>
      </c>
      <c r="P149" s="1"/>
      <c r="Q149" t="s">
        <v>97</v>
      </c>
      <c r="R149" t="s">
        <v>3</v>
      </c>
      <c r="S149" s="1" t="str">
        <f>MID(Table11[[#This Row],[Monthly plan / 月度计划]],1,2)</f>
        <v>YR</v>
      </c>
      <c r="T149" s="1" t="str">
        <f>MID(Table11[[#This Row],[Monthly plan / 月度计划]],4,4)</f>
        <v>1001</v>
      </c>
      <c r="U149" s="1" t="s">
        <v>1</v>
      </c>
      <c r="Y149" t="b">
        <v>0</v>
      </c>
    </row>
    <row r="150" spans="13:25" ht="14.4" customHeight="1" x14ac:dyDescent="0.3">
      <c r="M150" s="3">
        <v>46171</v>
      </c>
      <c r="N150">
        <v>5</v>
      </c>
      <c r="O150" s="2">
        <v>1</v>
      </c>
      <c r="Q150" t="s">
        <v>97</v>
      </c>
      <c r="R150" t="s">
        <v>3</v>
      </c>
      <c r="S150" s="1" t="str">
        <f>MID(Table11[[#This Row],[Monthly plan / 月度计划]],1,2)</f>
        <v>YR</v>
      </c>
      <c r="T150" s="1" t="str">
        <f>MID(Table11[[#This Row],[Monthly plan / 月度计划]],4,4)</f>
        <v>0966</v>
      </c>
      <c r="U150" s="1" t="s">
        <v>34</v>
      </c>
      <c r="Y150" t="b">
        <v>0</v>
      </c>
    </row>
    <row r="151" spans="13:25" ht="14.4" customHeight="1" x14ac:dyDescent="0.3">
      <c r="M151" s="3">
        <v>46172</v>
      </c>
      <c r="N151">
        <v>5</v>
      </c>
      <c r="O151" s="2">
        <v>1</v>
      </c>
      <c r="Q151" t="s">
        <v>97</v>
      </c>
      <c r="R151" t="s">
        <v>3</v>
      </c>
      <c r="S151" s="1" t="str">
        <f>MID(Table11[[#This Row],[Monthly plan / 月度计划]],1,2)</f>
        <v>YR</v>
      </c>
      <c r="T151" s="1" t="str">
        <f>MID(Table11[[#This Row],[Monthly plan / 月度计划]],4,4)</f>
        <v>0966</v>
      </c>
      <c r="U151" s="1" t="s">
        <v>75</v>
      </c>
      <c r="Y151" t="b">
        <v>0</v>
      </c>
    </row>
    <row r="152" spans="13:25" ht="14.4" customHeight="1" x14ac:dyDescent="0.3">
      <c r="M152" s="3">
        <v>46173</v>
      </c>
      <c r="N152">
        <v>5</v>
      </c>
      <c r="O152" s="2">
        <v>2</v>
      </c>
      <c r="Q152" t="s">
        <v>97</v>
      </c>
      <c r="R152" t="s">
        <v>3</v>
      </c>
      <c r="S152" s="1" t="str">
        <f>MID(Table11[[#This Row],[Monthly plan / 月度计划]],1,2)</f>
        <v>YR</v>
      </c>
      <c r="T152" s="1" t="str">
        <f>MID(Table11[[#This Row],[Monthly plan / 月度计划]],4,4)</f>
        <v>0966</v>
      </c>
      <c r="U152" s="1" t="s">
        <v>33</v>
      </c>
      <c r="Y152" t="b">
        <v>0</v>
      </c>
    </row>
    <row r="153" spans="13:25" ht="14.4" customHeight="1" x14ac:dyDescent="0.3">
      <c r="M153" s="3">
        <v>46174</v>
      </c>
      <c r="N153">
        <v>6</v>
      </c>
      <c r="O153" s="2">
        <v>2</v>
      </c>
      <c r="Q153" t="s">
        <v>97</v>
      </c>
      <c r="R153" t="s">
        <v>3</v>
      </c>
      <c r="S153" s="1" t="str">
        <f>MID(Table11[[#This Row],[Monthly plan / 月度计划]],1,2)</f>
        <v>YR</v>
      </c>
      <c r="T153" s="1" t="str">
        <f>MID(Table11[[#This Row],[Monthly plan / 月度计划]],4,4)</f>
        <v>0946</v>
      </c>
      <c r="U153" s="1" t="s">
        <v>74</v>
      </c>
      <c r="Y153" t="b">
        <v>0</v>
      </c>
    </row>
    <row r="154" spans="13:25" ht="14.4" customHeight="1" x14ac:dyDescent="0.3">
      <c r="M154" s="3">
        <v>46175</v>
      </c>
      <c r="N154">
        <v>6</v>
      </c>
      <c r="O154" s="2">
        <v>2</v>
      </c>
      <c r="Q154" t="s">
        <v>97</v>
      </c>
      <c r="R154" t="s">
        <v>3</v>
      </c>
      <c r="S154" s="1" t="str">
        <f>MID(Table11[[#This Row],[Monthly plan / 月度计划]],1,2)</f>
        <v>YR</v>
      </c>
      <c r="T154" s="1" t="str">
        <f>MID(Table11[[#This Row],[Monthly plan / 月度计划]],4,4)</f>
        <v>0946</v>
      </c>
      <c r="U154" s="1" t="s">
        <v>73</v>
      </c>
      <c r="Y154" t="b">
        <v>0</v>
      </c>
    </row>
    <row r="155" spans="13:25" ht="14.4" customHeight="1" x14ac:dyDescent="0.3">
      <c r="M155" s="3">
        <v>46176</v>
      </c>
      <c r="N155">
        <v>6</v>
      </c>
      <c r="O155" s="2">
        <v>2</v>
      </c>
      <c r="Q155" t="s">
        <v>97</v>
      </c>
      <c r="R155" t="s">
        <v>3</v>
      </c>
      <c r="S155" s="1" t="str">
        <f>MID(Table11[[#This Row],[Monthly plan / 月度计划]],1,2)</f>
        <v>YR</v>
      </c>
      <c r="T155" s="1" t="str">
        <f>MID(Table11[[#This Row],[Monthly plan / 月度计划]],4,4)</f>
        <v>0946</v>
      </c>
      <c r="U155" s="1" t="s">
        <v>31</v>
      </c>
      <c r="Y155" t="b">
        <v>0</v>
      </c>
    </row>
    <row r="156" spans="13:25" ht="14.4" customHeight="1" x14ac:dyDescent="0.3">
      <c r="M156" s="3">
        <v>46177</v>
      </c>
      <c r="N156">
        <v>6</v>
      </c>
      <c r="O156" s="2">
        <v>2</v>
      </c>
      <c r="Q156" t="s">
        <v>97</v>
      </c>
      <c r="R156" t="s">
        <v>3</v>
      </c>
      <c r="S156" s="1" t="str">
        <f>MID(Table11[[#This Row],[Monthly plan / 月度计划]],1,2)</f>
        <v>VS</v>
      </c>
      <c r="T156" s="1" t="str">
        <f>MID(Table11[[#This Row],[Monthly plan / 月度计划]],4,4)</f>
        <v>0925</v>
      </c>
      <c r="U156" s="1" t="s">
        <v>30</v>
      </c>
      <c r="Y156" t="b">
        <v>0</v>
      </c>
    </row>
    <row r="157" spans="13:25" ht="14.4" customHeight="1" x14ac:dyDescent="0.3">
      <c r="M157" s="3">
        <v>46178</v>
      </c>
      <c r="N157">
        <v>6</v>
      </c>
      <c r="O157" s="2">
        <v>2</v>
      </c>
      <c r="Q157" t="s">
        <v>97</v>
      </c>
      <c r="R157" t="s">
        <v>3</v>
      </c>
      <c r="S157" s="1" t="str">
        <f>MID(Table11[[#This Row],[Monthly plan / 月度计划]],1,2)</f>
        <v>VS</v>
      </c>
      <c r="T157" s="1" t="str">
        <f>MID(Table11[[#This Row],[Monthly plan / 月度计划]],4,4)</f>
        <v>0905</v>
      </c>
      <c r="U157" s="1" t="s">
        <v>29</v>
      </c>
      <c r="Y157" t="b">
        <v>0</v>
      </c>
    </row>
    <row r="158" spans="13:25" ht="14.4" customHeight="1" x14ac:dyDescent="0.3">
      <c r="M158" s="3">
        <v>46179</v>
      </c>
      <c r="N158">
        <v>6</v>
      </c>
      <c r="O158" s="2">
        <v>2</v>
      </c>
      <c r="Q158" t="s">
        <v>97</v>
      </c>
      <c r="R158" t="s">
        <v>3</v>
      </c>
      <c r="S158" s="1" t="str">
        <f>MID(Table11[[#This Row],[Monthly plan / 月度计划]],1,2)</f>
        <v>VS</v>
      </c>
      <c r="T158" s="1" t="str">
        <f>MID(Table11[[#This Row],[Monthly plan / 月度计划]],4,4)</f>
        <v>0905</v>
      </c>
      <c r="U158" s="1" t="s">
        <v>72</v>
      </c>
      <c r="Y158" t="b">
        <v>0</v>
      </c>
    </row>
    <row r="159" spans="13:25" ht="14.4" customHeight="1" x14ac:dyDescent="0.3">
      <c r="M159" s="3">
        <v>46180</v>
      </c>
      <c r="N159">
        <v>6</v>
      </c>
      <c r="O159" s="2">
        <v>3</v>
      </c>
      <c r="Q159" t="s">
        <v>97</v>
      </c>
      <c r="R159" t="s">
        <v>3</v>
      </c>
      <c r="S159" s="1" t="str">
        <f>MID(Table11[[#This Row],[Monthly plan / 月度计划]],1,2)</f>
        <v>VS</v>
      </c>
      <c r="T159" s="1" t="str">
        <f>MID(Table11[[#This Row],[Monthly plan / 月度计划]],4,4)</f>
        <v>0905</v>
      </c>
      <c r="U159" s="1" t="s">
        <v>18</v>
      </c>
      <c r="Y159" t="b">
        <v>0</v>
      </c>
    </row>
    <row r="160" spans="13:25" ht="14.4" customHeight="1" x14ac:dyDescent="0.3">
      <c r="M160" s="3">
        <v>46181</v>
      </c>
      <c r="N160">
        <v>6</v>
      </c>
      <c r="O160" s="2">
        <v>3</v>
      </c>
      <c r="Q160" t="s">
        <v>97</v>
      </c>
      <c r="R160" t="s">
        <v>3</v>
      </c>
      <c r="S160" s="1" t="str">
        <f>MID(Table11[[#This Row],[Monthly plan / 月度计划]],1,2)</f>
        <v>VS</v>
      </c>
      <c r="T160" s="1" t="str">
        <f>MID(Table11[[#This Row],[Monthly plan / 月度计划]],4,4)</f>
        <v>0905</v>
      </c>
      <c r="U160" s="1" t="s">
        <v>71</v>
      </c>
      <c r="Y160" t="b">
        <v>0</v>
      </c>
    </row>
    <row r="161" spans="13:25" ht="14.4" customHeight="1" x14ac:dyDescent="0.3">
      <c r="M161" s="3">
        <v>46182</v>
      </c>
      <c r="N161">
        <v>6</v>
      </c>
      <c r="O161" s="2">
        <v>3</v>
      </c>
      <c r="Q161" t="s">
        <v>97</v>
      </c>
      <c r="R161" t="s">
        <v>3</v>
      </c>
      <c r="S161" s="1" t="str">
        <f>MID(Table11[[#This Row],[Monthly plan / 月度计划]],1,2)</f>
        <v>VS</v>
      </c>
      <c r="T161" s="1" t="str">
        <f>MID(Table11[[#This Row],[Monthly plan / 月度计划]],4,4)</f>
        <v>0885</v>
      </c>
      <c r="U161" s="1" t="s">
        <v>70</v>
      </c>
      <c r="Y161" t="b">
        <v>0</v>
      </c>
    </row>
    <row r="162" spans="13:25" ht="14.4" customHeight="1" x14ac:dyDescent="0.3">
      <c r="M162" s="3">
        <v>46183</v>
      </c>
      <c r="N162">
        <v>6</v>
      </c>
      <c r="O162" s="2">
        <v>3</v>
      </c>
      <c r="Q162" t="s">
        <v>97</v>
      </c>
      <c r="R162" t="s">
        <v>3</v>
      </c>
      <c r="S162" s="1" t="str">
        <f>MID(Table11[[#This Row],[Monthly plan / 月度计划]],1,2)</f>
        <v>VS</v>
      </c>
      <c r="T162" s="1" t="str">
        <f>MID(Table11[[#This Row],[Monthly plan / 月度计划]],4,4)</f>
        <v>0885</v>
      </c>
      <c r="U162" s="1" t="s">
        <v>27</v>
      </c>
      <c r="Y162" t="b">
        <v>0</v>
      </c>
    </row>
    <row r="163" spans="13:25" ht="14.4" customHeight="1" x14ac:dyDescent="0.3">
      <c r="M163" s="3">
        <v>46184</v>
      </c>
      <c r="N163">
        <v>6</v>
      </c>
      <c r="O163" s="2">
        <v>3</v>
      </c>
      <c r="Q163" t="s">
        <v>97</v>
      </c>
      <c r="R163" t="s">
        <v>3</v>
      </c>
      <c r="S163" s="1" t="str">
        <f>MID(Table11[[#This Row],[Monthly plan / 月度计划]],1,2)</f>
        <v>VS</v>
      </c>
      <c r="T163" s="1" t="str">
        <f>MID(Table11[[#This Row],[Monthly plan / 月度计划]],4,4)</f>
        <v>0865</v>
      </c>
      <c r="U163" s="1" t="s">
        <v>69</v>
      </c>
      <c r="Y163" t="b">
        <v>0</v>
      </c>
    </row>
    <row r="164" spans="13:25" ht="14.4" customHeight="1" x14ac:dyDescent="0.3">
      <c r="M164" s="3">
        <v>46185</v>
      </c>
      <c r="N164">
        <v>6</v>
      </c>
      <c r="O164" s="2">
        <v>3</v>
      </c>
      <c r="Q164" t="s">
        <v>97</v>
      </c>
      <c r="R164" t="s">
        <v>3</v>
      </c>
      <c r="S164" s="1" t="str">
        <f>MID(Table11[[#This Row],[Monthly plan / 月度计划]],1,2)</f>
        <v>VS</v>
      </c>
      <c r="T164" s="1" t="str">
        <f>MID(Table11[[#This Row],[Monthly plan / 月度计划]],4,4)</f>
        <v>0925</v>
      </c>
      <c r="U164" s="1" t="s">
        <v>68</v>
      </c>
      <c r="Y164" t="b">
        <v>0</v>
      </c>
    </row>
    <row r="165" spans="13:25" ht="14.4" customHeight="1" x14ac:dyDescent="0.3">
      <c r="M165" s="3">
        <v>46186</v>
      </c>
      <c r="N165">
        <v>6</v>
      </c>
      <c r="O165" s="2">
        <v>3</v>
      </c>
      <c r="Q165" t="s">
        <v>97</v>
      </c>
      <c r="R165" t="s">
        <v>3</v>
      </c>
      <c r="S165" s="1" t="str">
        <f>MID(Table11[[#This Row],[Monthly plan / 月度计划]],1,2)</f>
        <v>VS</v>
      </c>
      <c r="T165" s="1" t="str">
        <f>MID(Table11[[#This Row],[Monthly plan / 月度计划]],4,4)</f>
        <v>0905</v>
      </c>
      <c r="U165" s="1" t="s">
        <v>19</v>
      </c>
      <c r="Y165" t="b">
        <v>0</v>
      </c>
    </row>
    <row r="166" spans="13:25" ht="14.4" customHeight="1" x14ac:dyDescent="0.3">
      <c r="M166" s="3">
        <v>46187</v>
      </c>
      <c r="N166">
        <v>6</v>
      </c>
      <c r="O166" s="2">
        <v>4</v>
      </c>
      <c r="Q166" t="s">
        <v>97</v>
      </c>
      <c r="R166" t="s">
        <v>3</v>
      </c>
      <c r="S166" s="1" t="str">
        <f>MID(Table11[[#This Row],[Monthly plan / 月度计划]],1,2)</f>
        <v>VS</v>
      </c>
      <c r="T166" s="1" t="str">
        <f>MID(Table11[[#This Row],[Monthly plan / 月度计划]],4,4)</f>
        <v>0885</v>
      </c>
      <c r="U166" s="1" t="s">
        <v>26</v>
      </c>
      <c r="Y166" t="b">
        <v>0</v>
      </c>
    </row>
    <row r="167" spans="13:25" ht="14.4" customHeight="1" x14ac:dyDescent="0.3">
      <c r="M167" s="3">
        <v>46188</v>
      </c>
      <c r="N167">
        <v>6</v>
      </c>
      <c r="O167" s="2">
        <v>4</v>
      </c>
      <c r="Q167" t="s">
        <v>97</v>
      </c>
      <c r="R167" t="s">
        <v>3</v>
      </c>
      <c r="S167" s="1" t="str">
        <f>MID(Table11[[#This Row],[Monthly plan / 月度计划]],1,2)</f>
        <v>VS</v>
      </c>
      <c r="T167" s="1" t="str">
        <f>MID(Table11[[#This Row],[Monthly plan / 月度计划]],4,4)</f>
        <v>0885</v>
      </c>
      <c r="U167" s="1" t="s">
        <v>67</v>
      </c>
      <c r="Y167" t="b">
        <v>0</v>
      </c>
    </row>
    <row r="168" spans="13:25" ht="14.4" customHeight="1" x14ac:dyDescent="0.3">
      <c r="M168" s="3">
        <v>46189</v>
      </c>
      <c r="N168">
        <v>6</v>
      </c>
      <c r="O168" s="2">
        <v>4</v>
      </c>
      <c r="Q168" t="s">
        <v>95</v>
      </c>
      <c r="R168" t="s">
        <v>8</v>
      </c>
      <c r="S168" s="1" t="str">
        <f>MID(Table11[[#This Row],[Monthly plan / 月度计划]],1,2)</f>
        <v>VS</v>
      </c>
      <c r="T168" s="1" t="str">
        <f>MID(Table11[[#This Row],[Monthly plan / 月度计划]],4,4)</f>
        <v>0966</v>
      </c>
      <c r="U168" s="1" t="s">
        <v>94</v>
      </c>
      <c r="Y168" t="b">
        <v>0</v>
      </c>
    </row>
    <row r="169" spans="13:25" ht="14.4" customHeight="1" x14ac:dyDescent="0.3">
      <c r="M169" s="3">
        <v>46190</v>
      </c>
      <c r="N169">
        <v>6</v>
      </c>
      <c r="O169" s="2">
        <v>4</v>
      </c>
      <c r="Q169" t="s">
        <v>95</v>
      </c>
      <c r="R169" t="s">
        <v>8</v>
      </c>
      <c r="S169" s="1" t="str">
        <f>MID(Table11[[#This Row],[Monthly plan / 月度计划]],1,2)</f>
        <v>VS</v>
      </c>
      <c r="T169" s="1" t="str">
        <f>MID(Table11[[#This Row],[Monthly plan / 月度计划]],4,4)</f>
        <v>0946</v>
      </c>
      <c r="U169" s="1" t="s">
        <v>65</v>
      </c>
      <c r="Y169" t="b">
        <v>0</v>
      </c>
    </row>
    <row r="170" spans="13:25" ht="14.4" customHeight="1" x14ac:dyDescent="0.3">
      <c r="M170" s="3">
        <v>46191</v>
      </c>
      <c r="N170">
        <v>6</v>
      </c>
      <c r="O170" s="2">
        <v>4</v>
      </c>
      <c r="Q170" t="s">
        <v>95</v>
      </c>
      <c r="R170" t="s">
        <v>8</v>
      </c>
      <c r="S170" s="1" t="str">
        <f>MID(Table11[[#This Row],[Monthly plan / 月度计划]],1,2)</f>
        <v>VS</v>
      </c>
      <c r="T170" s="1" t="str">
        <f>MID(Table11[[#This Row],[Monthly plan / 月度计划]],4,4)</f>
        <v>0946</v>
      </c>
      <c r="U170" s="1" t="s">
        <v>64</v>
      </c>
      <c r="Y170" t="b">
        <v>0</v>
      </c>
    </row>
    <row r="171" spans="13:25" ht="14.4" customHeight="1" x14ac:dyDescent="0.3">
      <c r="M171" s="3">
        <v>46192</v>
      </c>
      <c r="N171">
        <v>6</v>
      </c>
      <c r="O171" s="2">
        <v>4</v>
      </c>
      <c r="Q171" t="s">
        <v>95</v>
      </c>
      <c r="R171" t="s">
        <v>8</v>
      </c>
      <c r="S171" s="1" t="str">
        <f>MID(Table11[[#This Row],[Monthly plan / 月度计划]],1,2)</f>
        <v>VS</v>
      </c>
      <c r="T171" s="1" t="str">
        <f>MID(Table11[[#This Row],[Monthly plan / 月度计划]],4,4)</f>
        <v>0906</v>
      </c>
      <c r="U171" s="1" t="s">
        <v>63</v>
      </c>
      <c r="Y171" t="b">
        <v>0</v>
      </c>
    </row>
    <row r="172" spans="13:25" ht="14.4" customHeight="1" x14ac:dyDescent="0.3">
      <c r="M172" s="3">
        <v>46193</v>
      </c>
      <c r="N172">
        <v>6</v>
      </c>
      <c r="O172" s="2">
        <v>4</v>
      </c>
      <c r="Q172" t="s">
        <v>95</v>
      </c>
      <c r="R172" t="s">
        <v>8</v>
      </c>
      <c r="S172" s="1" t="str">
        <f>MID(Table11[[#This Row],[Monthly plan / 月度计划]],1,2)</f>
        <v>VS</v>
      </c>
      <c r="T172" s="1" t="str">
        <f>MID(Table11[[#This Row],[Monthly plan / 月度计划]],4,4)</f>
        <v>0906</v>
      </c>
      <c r="U172" s="1" t="s">
        <v>93</v>
      </c>
      <c r="Y172" t="b">
        <v>0</v>
      </c>
    </row>
    <row r="173" spans="13:25" ht="14.4" customHeight="1" x14ac:dyDescent="0.3">
      <c r="M173" s="3">
        <v>46194</v>
      </c>
      <c r="N173">
        <v>6</v>
      </c>
      <c r="O173" s="2">
        <v>5</v>
      </c>
      <c r="Q173" t="s">
        <v>95</v>
      </c>
      <c r="R173" t="s">
        <v>8</v>
      </c>
      <c r="S173" s="1" t="str">
        <f>MID(Table11[[#This Row],[Monthly plan / 月度计划]],1,2)</f>
        <v>VS</v>
      </c>
      <c r="T173" s="1" t="str">
        <f>MID(Table11[[#This Row],[Monthly plan / 月度计划]],4,4)</f>
        <v>0886</v>
      </c>
      <c r="U173" s="1" t="s">
        <v>92</v>
      </c>
      <c r="Y173" t="b">
        <v>0</v>
      </c>
    </row>
    <row r="174" spans="13:25" ht="14.4" customHeight="1" x14ac:dyDescent="0.3">
      <c r="M174" s="3">
        <v>46195</v>
      </c>
      <c r="N174">
        <v>6</v>
      </c>
      <c r="O174" s="2">
        <v>5</v>
      </c>
      <c r="Q174" t="s">
        <v>95</v>
      </c>
      <c r="R174" t="s">
        <v>8</v>
      </c>
      <c r="S174" s="1" t="str">
        <f>MID(Table11[[#This Row],[Monthly plan / 月度计划]],1,2)</f>
        <v>VS</v>
      </c>
      <c r="T174" s="1" t="str">
        <f>MID(Table11[[#This Row],[Monthly plan / 月度计划]],4,4)</f>
        <v>0886</v>
      </c>
      <c r="U174" s="1" t="s">
        <v>54</v>
      </c>
      <c r="Y174" t="b">
        <v>0</v>
      </c>
    </row>
    <row r="175" spans="13:25" ht="14.4" customHeight="1" x14ac:dyDescent="0.3">
      <c r="M175" s="3">
        <v>46196</v>
      </c>
      <c r="N175">
        <v>6</v>
      </c>
      <c r="O175" s="2">
        <v>5</v>
      </c>
      <c r="Q175" t="s">
        <v>95</v>
      </c>
      <c r="R175" t="s">
        <v>8</v>
      </c>
      <c r="S175" s="1" t="str">
        <f>MID(Table11[[#This Row],[Monthly plan / 月度计划]],1,2)</f>
        <v>VS</v>
      </c>
      <c r="T175" s="1" t="str">
        <f>MID(Table11[[#This Row],[Monthly plan / 月度计划]],4,4)</f>
        <v>0886</v>
      </c>
      <c r="U175" s="1" t="s">
        <v>62</v>
      </c>
      <c r="Y175" t="b">
        <v>0</v>
      </c>
    </row>
    <row r="176" spans="13:25" ht="14.4" customHeight="1" x14ac:dyDescent="0.3">
      <c r="M176" s="3">
        <v>46197</v>
      </c>
      <c r="N176">
        <v>6</v>
      </c>
      <c r="O176" s="2">
        <v>5</v>
      </c>
      <c r="Q176" t="s">
        <v>95</v>
      </c>
      <c r="R176" t="s">
        <v>8</v>
      </c>
      <c r="S176" s="1" t="str">
        <f>MID(Table11[[#This Row],[Monthly plan / 月度计划]],1,2)</f>
        <v>VS</v>
      </c>
      <c r="T176" s="1" t="str">
        <f>MID(Table11[[#This Row],[Monthly plan / 月度计划]],4,4)</f>
        <v>0866</v>
      </c>
      <c r="U176" s="1" t="s">
        <v>91</v>
      </c>
      <c r="Y176" t="b">
        <v>0</v>
      </c>
    </row>
    <row r="177" spans="13:25" ht="14.4" customHeight="1" x14ac:dyDescent="0.3">
      <c r="M177" s="3">
        <v>46198</v>
      </c>
      <c r="N177">
        <v>6</v>
      </c>
      <c r="O177" s="2">
        <v>5</v>
      </c>
      <c r="Q177" t="s">
        <v>95</v>
      </c>
      <c r="R177" t="s">
        <v>8</v>
      </c>
      <c r="S177" s="1" t="str">
        <f>MID(Table11[[#This Row],[Monthly plan / 月度计划]],1,2)</f>
        <v>VS</v>
      </c>
      <c r="T177" s="1" t="str">
        <f>MID(Table11[[#This Row],[Monthly plan / 月度计划]],4,4)</f>
        <v>0866</v>
      </c>
      <c r="U177" s="1" t="s">
        <v>90</v>
      </c>
      <c r="Y177" t="b">
        <v>0</v>
      </c>
    </row>
    <row r="178" spans="13:25" ht="14.4" customHeight="1" x14ac:dyDescent="0.3">
      <c r="M178" s="3">
        <v>46199</v>
      </c>
      <c r="N178">
        <v>6</v>
      </c>
      <c r="O178" s="2">
        <v>1</v>
      </c>
      <c r="Q178" t="s">
        <v>95</v>
      </c>
      <c r="R178" t="s">
        <v>8</v>
      </c>
      <c r="S178" s="1" t="str">
        <f>MID(Table11[[#This Row],[Monthly plan / 月度计划]],1,2)</f>
        <v>VS</v>
      </c>
      <c r="T178" s="1" t="str">
        <f>MID(Table11[[#This Row],[Monthly plan / 月度计划]],4,4)</f>
        <v>0866</v>
      </c>
      <c r="U178" s="1" t="s">
        <v>59</v>
      </c>
      <c r="Y178" t="b">
        <v>0</v>
      </c>
    </row>
    <row r="179" spans="13:25" ht="14.4" customHeight="1" x14ac:dyDescent="0.3">
      <c r="M179" s="3">
        <v>46200</v>
      </c>
      <c r="N179">
        <v>6</v>
      </c>
      <c r="O179" s="2">
        <v>1</v>
      </c>
      <c r="Q179" t="s">
        <v>95</v>
      </c>
      <c r="R179" t="s">
        <v>8</v>
      </c>
      <c r="S179" s="1" t="str">
        <f>MID(Table11[[#This Row],[Monthly plan / 月度计划]],1,2)</f>
        <v>VS</v>
      </c>
      <c r="T179" s="1" t="str">
        <f>MID(Table11[[#This Row],[Monthly plan / 月度计划]],4,4)</f>
        <v>0866</v>
      </c>
      <c r="U179" s="1" t="s">
        <v>89</v>
      </c>
      <c r="Y179" t="b">
        <v>0</v>
      </c>
    </row>
    <row r="180" spans="13:25" ht="14.4" customHeight="1" x14ac:dyDescent="0.3">
      <c r="M180" s="3">
        <v>46201</v>
      </c>
      <c r="N180">
        <v>6</v>
      </c>
      <c r="O180" s="2">
        <v>1</v>
      </c>
      <c r="Q180" t="s">
        <v>95</v>
      </c>
      <c r="R180" t="s">
        <v>8</v>
      </c>
      <c r="S180" s="1" t="str">
        <f>MID(Table11[[#This Row],[Monthly plan / 月度计划]],1,2)</f>
        <v>VS</v>
      </c>
      <c r="T180" s="1" t="str">
        <f>MID(Table11[[#This Row],[Monthly plan / 月度计划]],4,4)</f>
        <v>0846</v>
      </c>
      <c r="U180" s="1" t="s">
        <v>88</v>
      </c>
      <c r="Y180" t="b">
        <v>0</v>
      </c>
    </row>
    <row r="181" spans="13:25" ht="14.4" customHeight="1" x14ac:dyDescent="0.3">
      <c r="M181" s="3">
        <v>46202</v>
      </c>
      <c r="N181">
        <v>6</v>
      </c>
      <c r="O181" s="2">
        <v>1</v>
      </c>
      <c r="Q181" t="s">
        <v>95</v>
      </c>
      <c r="R181" t="s">
        <v>8</v>
      </c>
      <c r="S181" s="1" t="str">
        <f>MID(Table11[[#This Row],[Monthly plan / 月度计划]],1,2)</f>
        <v>VS</v>
      </c>
      <c r="T181" s="1" t="str">
        <f>MID(Table11[[#This Row],[Monthly plan / 月度计划]],4,4)</f>
        <v>0856</v>
      </c>
      <c r="U181" s="1" t="s">
        <v>58</v>
      </c>
      <c r="Y181" t="b">
        <v>0</v>
      </c>
    </row>
    <row r="182" spans="13:25" ht="14.4" customHeight="1" x14ac:dyDescent="0.3">
      <c r="M182" s="3">
        <v>46203</v>
      </c>
      <c r="N182">
        <v>6</v>
      </c>
      <c r="O182" s="2">
        <v>1</v>
      </c>
      <c r="Q182" t="s">
        <v>95</v>
      </c>
      <c r="R182" t="s">
        <v>8</v>
      </c>
      <c r="S182" s="1" t="str">
        <f>MID(Table11[[#This Row],[Monthly plan / 月度计划]],1,2)</f>
        <v>VS</v>
      </c>
      <c r="T182" s="1" t="str">
        <f>MID(Table11[[#This Row],[Monthly plan / 月度计划]],4,4)</f>
        <v>1015</v>
      </c>
      <c r="U182" s="1" t="s">
        <v>87</v>
      </c>
      <c r="Y182" t="b">
        <v>0</v>
      </c>
    </row>
    <row r="183" spans="13:25" ht="14.4" customHeight="1" x14ac:dyDescent="0.3">
      <c r="M183" s="3">
        <v>46204</v>
      </c>
      <c r="N183">
        <v>7</v>
      </c>
      <c r="O183" s="2">
        <v>1</v>
      </c>
      <c r="Q183" t="s">
        <v>95</v>
      </c>
      <c r="R183" t="s">
        <v>8</v>
      </c>
      <c r="S183" s="1" t="str">
        <f>MID(Table11[[#This Row],[Monthly plan / 月度计划]],1,2)</f>
        <v>VS</v>
      </c>
      <c r="T183" s="1" t="str">
        <f>MID(Table11[[#This Row],[Monthly plan / 月度计划]],4,4)</f>
        <v>1015</v>
      </c>
      <c r="U183" s="1" t="s">
        <v>5</v>
      </c>
      <c r="Y183" t="b">
        <v>0</v>
      </c>
    </row>
    <row r="184" spans="13:25" ht="14.4" customHeight="1" x14ac:dyDescent="0.3">
      <c r="M184" s="3">
        <v>46205</v>
      </c>
      <c r="N184">
        <v>7</v>
      </c>
      <c r="O184" s="2">
        <v>1</v>
      </c>
      <c r="Q184" t="s">
        <v>95</v>
      </c>
      <c r="R184" t="s">
        <v>8</v>
      </c>
      <c r="S184" s="1" t="str">
        <f>MID(Table11[[#This Row],[Monthly plan / 月度计划]],1,2)</f>
        <v>VS</v>
      </c>
      <c r="T184" s="1" t="str">
        <f>MID(Table11[[#This Row],[Monthly plan / 月度计划]],4,4)</f>
        <v>0986</v>
      </c>
      <c r="U184" s="1" t="s">
        <v>52</v>
      </c>
      <c r="Y184" t="b">
        <v>0</v>
      </c>
    </row>
    <row r="185" spans="13:25" ht="14.4" customHeight="1" x14ac:dyDescent="0.3">
      <c r="M185" s="3">
        <v>46206</v>
      </c>
      <c r="N185">
        <v>7</v>
      </c>
      <c r="O185" s="2">
        <v>1</v>
      </c>
      <c r="Q185" t="s">
        <v>95</v>
      </c>
      <c r="R185" t="s">
        <v>8</v>
      </c>
      <c r="S185" s="1" t="str">
        <f>MID(Table11[[#This Row],[Monthly plan / 月度计划]],1,2)</f>
        <v>VS</v>
      </c>
      <c r="T185" s="1" t="str">
        <f>MID(Table11[[#This Row],[Monthly plan / 月度计划]],4,4)</f>
        <v>0986</v>
      </c>
      <c r="U185" s="1" t="s">
        <v>51</v>
      </c>
      <c r="Y185" t="b">
        <v>0</v>
      </c>
    </row>
    <row r="186" spans="13:25" ht="14.4" customHeight="1" x14ac:dyDescent="0.3">
      <c r="M186" s="3">
        <v>46207</v>
      </c>
      <c r="N186">
        <v>7</v>
      </c>
      <c r="O186" s="2">
        <v>1</v>
      </c>
      <c r="Q186" t="s">
        <v>95</v>
      </c>
      <c r="R186" t="s">
        <v>8</v>
      </c>
      <c r="S186" s="1" t="str">
        <f>MID(Table11[[#This Row],[Monthly plan / 月度计划]],1,2)</f>
        <v>VS</v>
      </c>
      <c r="T186" s="1" t="str">
        <f>MID(Table11[[#This Row],[Monthly plan / 月度计划]],4,4)</f>
        <v>0966</v>
      </c>
      <c r="U186" s="1" t="s">
        <v>49</v>
      </c>
      <c r="Y186" t="b">
        <v>0</v>
      </c>
    </row>
    <row r="187" spans="13:25" ht="14.4" customHeight="1" x14ac:dyDescent="0.3">
      <c r="M187" s="3">
        <v>46208</v>
      </c>
      <c r="N187">
        <v>7</v>
      </c>
      <c r="O187" s="2">
        <v>2</v>
      </c>
      <c r="Q187" t="s">
        <v>95</v>
      </c>
      <c r="R187" t="s">
        <v>8</v>
      </c>
      <c r="S187" s="1" t="str">
        <f>MID(Table11[[#This Row],[Monthly plan / 月度计划]],1,2)</f>
        <v>VS</v>
      </c>
      <c r="T187" s="1" t="str">
        <f>MID(Table11[[#This Row],[Monthly plan / 月度计划]],4,4)</f>
        <v>0946</v>
      </c>
      <c r="U187" s="1" t="s">
        <v>86</v>
      </c>
      <c r="Y187" t="b">
        <v>0</v>
      </c>
    </row>
    <row r="188" spans="13:25" ht="14.4" customHeight="1" x14ac:dyDescent="0.3">
      <c r="M188" s="3">
        <v>46209</v>
      </c>
      <c r="N188">
        <v>7</v>
      </c>
      <c r="O188" s="2">
        <v>2</v>
      </c>
      <c r="Q188" t="s">
        <v>95</v>
      </c>
      <c r="R188" t="s">
        <v>8</v>
      </c>
      <c r="S188" s="1" t="str">
        <f>MID(Table11[[#This Row],[Monthly plan / 月度计划]],1,2)</f>
        <v>VS</v>
      </c>
      <c r="T188" s="1" t="str">
        <f>MID(Table11[[#This Row],[Monthly plan / 月度计划]],4,4)</f>
        <v>0906</v>
      </c>
      <c r="U188" s="1" t="s">
        <v>85</v>
      </c>
      <c r="Y188" t="b">
        <v>0</v>
      </c>
    </row>
    <row r="189" spans="13:25" ht="14.4" customHeight="1" x14ac:dyDescent="0.3">
      <c r="M189" s="3">
        <v>46210</v>
      </c>
      <c r="N189">
        <v>7</v>
      </c>
      <c r="O189" s="2">
        <v>2</v>
      </c>
      <c r="Q189" t="s">
        <v>95</v>
      </c>
      <c r="R189" t="s">
        <v>8</v>
      </c>
      <c r="S189" s="1" t="str">
        <f>MID(Table11[[#This Row],[Monthly plan / 月度计划]],1,2)</f>
        <v>VS</v>
      </c>
      <c r="T189" s="1" t="str">
        <f>MID(Table11[[#This Row],[Monthly plan / 月度计划]],4,4)</f>
        <v>0906</v>
      </c>
      <c r="U189" s="1" t="s">
        <v>84</v>
      </c>
      <c r="Y189" t="b">
        <v>0</v>
      </c>
    </row>
    <row r="190" spans="13:25" ht="14.4" customHeight="1" x14ac:dyDescent="0.3">
      <c r="M190" s="3">
        <v>46211</v>
      </c>
      <c r="N190">
        <v>7</v>
      </c>
      <c r="O190" s="2">
        <v>2</v>
      </c>
      <c r="Q190" t="s">
        <v>95</v>
      </c>
      <c r="R190" t="s">
        <v>8</v>
      </c>
      <c r="S190" s="1" t="str">
        <f>MID(Table11[[#This Row],[Monthly plan / 月度计划]],1,2)</f>
        <v>VS</v>
      </c>
      <c r="T190" s="1" t="str">
        <f>MID(Table11[[#This Row],[Monthly plan / 月度计划]],4,4)</f>
        <v>0906</v>
      </c>
      <c r="U190" s="1" t="s">
        <v>83</v>
      </c>
      <c r="Y190" t="b">
        <v>0</v>
      </c>
    </row>
    <row r="191" spans="13:25" ht="14.4" customHeight="1" x14ac:dyDescent="0.3">
      <c r="M191" s="3">
        <v>46212</v>
      </c>
      <c r="N191">
        <v>7</v>
      </c>
      <c r="O191" s="2">
        <v>2</v>
      </c>
      <c r="Q191" t="s">
        <v>95</v>
      </c>
      <c r="R191" t="s">
        <v>8</v>
      </c>
      <c r="S191" s="1" t="str">
        <f>MID(Table11[[#This Row],[Monthly plan / 月度计划]],1,2)</f>
        <v>VS</v>
      </c>
      <c r="T191" s="1" t="str">
        <f>MID(Table11[[#This Row],[Monthly plan / 月度计划]],4,4)</f>
        <v>1000</v>
      </c>
      <c r="U191" s="1" t="s">
        <v>82</v>
      </c>
      <c r="Y191" t="b">
        <v>0</v>
      </c>
    </row>
    <row r="192" spans="13:25" ht="14.4" customHeight="1" x14ac:dyDescent="0.3">
      <c r="M192" s="3">
        <v>46213</v>
      </c>
      <c r="N192">
        <v>7</v>
      </c>
      <c r="O192" s="2">
        <v>2</v>
      </c>
      <c r="Q192" t="s">
        <v>95</v>
      </c>
      <c r="R192" t="s">
        <v>8</v>
      </c>
      <c r="S192" s="1" t="str">
        <f>MID(Table11[[#This Row],[Monthly plan / 月度计划]],1,2)</f>
        <v>VS</v>
      </c>
      <c r="T192" s="1" t="str">
        <f>MID(Table11[[#This Row],[Monthly plan / 月度计划]],4,4)</f>
        <v>1000</v>
      </c>
      <c r="U192" s="1" t="s">
        <v>6</v>
      </c>
      <c r="Y192" t="b">
        <v>0</v>
      </c>
    </row>
    <row r="193" spans="13:25" ht="14.4" customHeight="1" x14ac:dyDescent="0.3">
      <c r="M193" s="3">
        <v>46214</v>
      </c>
      <c r="N193">
        <v>7</v>
      </c>
      <c r="O193" s="2">
        <v>2</v>
      </c>
      <c r="Q193" t="s">
        <v>95</v>
      </c>
      <c r="R193" t="s">
        <v>8</v>
      </c>
      <c r="S193" s="1" t="str">
        <f>MID(Table11[[#This Row],[Monthly plan / 月度计划]],1,2)</f>
        <v>VS</v>
      </c>
      <c r="T193" s="1" t="str">
        <f>MID(Table11[[#This Row],[Monthly plan / 月度计划]],4,4)</f>
        <v>0986</v>
      </c>
      <c r="U193" s="1" t="s">
        <v>81</v>
      </c>
      <c r="Y193" t="b">
        <v>0</v>
      </c>
    </row>
    <row r="194" spans="13:25" ht="14.4" customHeight="1" x14ac:dyDescent="0.3">
      <c r="M194" s="3">
        <v>46215</v>
      </c>
      <c r="N194">
        <v>7</v>
      </c>
      <c r="O194" s="2">
        <v>3</v>
      </c>
      <c r="Q194" t="s">
        <v>95</v>
      </c>
      <c r="R194" t="s">
        <v>8</v>
      </c>
      <c r="S194" s="1" t="str">
        <f>MID(Table11[[#This Row],[Monthly plan / 月度计划]],1,2)</f>
        <v>VS</v>
      </c>
      <c r="T194" s="1" t="str">
        <f>MID(Table11[[#This Row],[Monthly plan / 月度计划]],4,4)</f>
        <v>0966</v>
      </c>
      <c r="U194" s="1" t="s">
        <v>80</v>
      </c>
      <c r="Y194" t="b">
        <v>0</v>
      </c>
    </row>
    <row r="195" spans="13:25" ht="14.4" customHeight="1" x14ac:dyDescent="0.3">
      <c r="M195" s="3">
        <v>46216</v>
      </c>
      <c r="N195">
        <v>7</v>
      </c>
      <c r="O195" s="2">
        <v>3</v>
      </c>
      <c r="Q195" t="s">
        <v>95</v>
      </c>
      <c r="R195" t="s">
        <v>8</v>
      </c>
      <c r="S195" s="1" t="str">
        <f>MID(Table11[[#This Row],[Monthly plan / 月度计划]],1,2)</f>
        <v>VS</v>
      </c>
      <c r="T195" s="1" t="str">
        <f>MID(Table11[[#This Row],[Monthly plan / 月度计划]],4,4)</f>
        <v>0966</v>
      </c>
      <c r="U195" s="1" t="s">
        <v>79</v>
      </c>
      <c r="Y195" t="b">
        <v>0</v>
      </c>
    </row>
    <row r="196" spans="13:25" ht="14.4" customHeight="1" x14ac:dyDescent="0.3">
      <c r="M196" s="3">
        <v>46217</v>
      </c>
      <c r="N196">
        <v>7</v>
      </c>
      <c r="O196" s="2">
        <v>3</v>
      </c>
      <c r="Q196" t="s">
        <v>95</v>
      </c>
      <c r="R196" t="s">
        <v>8</v>
      </c>
      <c r="S196" s="1" t="str">
        <f>MID(Table11[[#This Row],[Monthly plan / 月度计划]],1,2)</f>
        <v>VS</v>
      </c>
      <c r="T196" s="1" t="str">
        <f>MID(Table11[[#This Row],[Monthly plan / 月度计划]],4,4)</f>
        <v>0966</v>
      </c>
      <c r="U196" s="1" t="s">
        <v>48</v>
      </c>
      <c r="Y196" t="b">
        <v>0</v>
      </c>
    </row>
    <row r="197" spans="13:25" ht="14.4" customHeight="1" x14ac:dyDescent="0.3">
      <c r="M197" s="3">
        <v>46218</v>
      </c>
      <c r="N197">
        <v>7</v>
      </c>
      <c r="O197" s="2">
        <v>3</v>
      </c>
      <c r="Q197" t="s">
        <v>95</v>
      </c>
      <c r="R197" t="s">
        <v>8</v>
      </c>
      <c r="S197" s="1" t="str">
        <f>MID(Table11[[#This Row],[Monthly plan / 月度计划]],1,2)</f>
        <v>VS</v>
      </c>
      <c r="T197" s="1" t="str">
        <f>MID(Table11[[#This Row],[Monthly plan / 月度计划]],4,4)</f>
        <v>0926</v>
      </c>
      <c r="U197" s="1" t="s">
        <v>47</v>
      </c>
      <c r="Y197" t="b">
        <v>0</v>
      </c>
    </row>
    <row r="198" spans="13:25" ht="14.4" customHeight="1" x14ac:dyDescent="0.3">
      <c r="M198" s="3">
        <v>46219</v>
      </c>
      <c r="N198">
        <v>7</v>
      </c>
      <c r="O198" s="2">
        <v>3</v>
      </c>
      <c r="Q198" t="s">
        <v>95</v>
      </c>
      <c r="R198" t="s">
        <v>8</v>
      </c>
      <c r="S198" s="1" t="str">
        <f>MID(Table11[[#This Row],[Monthly plan / 月度计划]],1,2)</f>
        <v>YR</v>
      </c>
      <c r="T198" s="1" t="str">
        <f>MID(Table11[[#This Row],[Monthly plan / 月度计划]],4,4)</f>
        <v>0926</v>
      </c>
      <c r="U198" s="1" t="s">
        <v>44</v>
      </c>
      <c r="Y198" t="b">
        <v>0</v>
      </c>
    </row>
    <row r="199" spans="13:25" ht="14.4" customHeight="1" x14ac:dyDescent="0.3">
      <c r="M199" s="3">
        <v>46220</v>
      </c>
      <c r="N199">
        <v>7</v>
      </c>
      <c r="O199" s="2">
        <v>3</v>
      </c>
      <c r="Q199" t="s">
        <v>95</v>
      </c>
      <c r="R199" t="s">
        <v>8</v>
      </c>
      <c r="S199" s="1" t="str">
        <f>MID(Table11[[#This Row],[Monthly plan / 月度计划]],1,2)</f>
        <v>YR</v>
      </c>
      <c r="T199" s="1" t="str">
        <f>MID(Table11[[#This Row],[Monthly plan / 月度计划]],4,4)</f>
        <v>0926</v>
      </c>
      <c r="U199" s="1" t="s">
        <v>78</v>
      </c>
      <c r="Y199" t="b">
        <v>0</v>
      </c>
    </row>
    <row r="200" spans="13:25" ht="14.4" customHeight="1" x14ac:dyDescent="0.3">
      <c r="M200" s="3">
        <v>46221</v>
      </c>
      <c r="N200">
        <v>7</v>
      </c>
      <c r="O200" s="2">
        <v>3</v>
      </c>
      <c r="Q200" t="s">
        <v>95</v>
      </c>
      <c r="R200" t="s">
        <v>3</v>
      </c>
      <c r="S200" s="1" t="str">
        <f>MID(Table11[[#This Row],[Monthly plan / 月度计划]],1,2)</f>
        <v>YR</v>
      </c>
      <c r="T200" s="1" t="str">
        <f>MID(Table11[[#This Row],[Monthly plan / 月度计划]],4,4)</f>
        <v>0906</v>
      </c>
      <c r="U200" s="1" t="s">
        <v>43</v>
      </c>
      <c r="Y200" t="b">
        <v>0</v>
      </c>
    </row>
    <row r="201" spans="13:25" ht="14.4" customHeight="1" x14ac:dyDescent="0.3">
      <c r="M201" s="3">
        <v>46222</v>
      </c>
      <c r="N201">
        <v>7</v>
      </c>
      <c r="O201" s="2">
        <v>4</v>
      </c>
      <c r="Q201" t="s">
        <v>95</v>
      </c>
      <c r="R201" t="s">
        <v>3</v>
      </c>
      <c r="S201" s="1" t="str">
        <f>MID(Table11[[#This Row],[Monthly plan / 月度计划]],1,2)</f>
        <v>YR</v>
      </c>
      <c r="T201" s="1" t="str">
        <f>MID(Table11[[#This Row],[Monthly plan / 月度计划]],4,4)</f>
        <v>0890</v>
      </c>
      <c r="U201" s="1" t="s">
        <v>77</v>
      </c>
      <c r="Y201" t="b">
        <v>0</v>
      </c>
    </row>
    <row r="202" spans="13:25" ht="14.4" customHeight="1" x14ac:dyDescent="0.3">
      <c r="M202" s="3">
        <v>46223</v>
      </c>
      <c r="N202">
        <v>7</v>
      </c>
      <c r="O202" s="2">
        <v>4</v>
      </c>
      <c r="Q202" t="s">
        <v>95</v>
      </c>
      <c r="R202" t="s">
        <v>3</v>
      </c>
      <c r="S202" s="1" t="str">
        <f>MID(Table11[[#This Row],[Monthly plan / 月度计划]],1,2)</f>
        <v>YR</v>
      </c>
      <c r="T202" s="1" t="str">
        <f>MID(Table11[[#This Row],[Monthly plan / 月度计划]],4,4)</f>
        <v>0886</v>
      </c>
      <c r="U202" s="1" t="s">
        <v>41</v>
      </c>
      <c r="Y202" t="b">
        <v>0</v>
      </c>
    </row>
    <row r="203" spans="13:25" ht="14.4" customHeight="1" x14ac:dyDescent="0.3">
      <c r="M203" s="3">
        <v>46224</v>
      </c>
      <c r="N203">
        <v>7</v>
      </c>
      <c r="O203" s="2">
        <v>4</v>
      </c>
      <c r="Q203" t="s">
        <v>95</v>
      </c>
      <c r="R203" t="s">
        <v>3</v>
      </c>
      <c r="S203" s="1" t="str">
        <f>MID(Table11[[#This Row],[Monthly plan / 月度计划]],1,2)</f>
        <v>YR</v>
      </c>
      <c r="T203" s="1" t="str">
        <f>MID(Table11[[#This Row],[Monthly plan / 月度计划]],4,4)</f>
        <v>0886</v>
      </c>
      <c r="U203" s="1" t="s">
        <v>76</v>
      </c>
      <c r="Y203" t="b">
        <v>0</v>
      </c>
    </row>
    <row r="204" spans="13:25" ht="14.4" customHeight="1" x14ac:dyDescent="0.3">
      <c r="M204" s="3">
        <v>46225</v>
      </c>
      <c r="N204">
        <v>7</v>
      </c>
      <c r="O204" s="2">
        <v>4</v>
      </c>
      <c r="Q204" t="s">
        <v>95</v>
      </c>
      <c r="R204" t="s">
        <v>3</v>
      </c>
      <c r="S204" s="1" t="str">
        <f>MID(Table11[[#This Row],[Monthly plan / 月度计划]],1,2)</f>
        <v>YR</v>
      </c>
      <c r="T204" s="1" t="str">
        <f>MID(Table11[[#This Row],[Monthly plan / 月度计划]],4,4)</f>
        <v>0986</v>
      </c>
      <c r="U204" s="1" t="s">
        <v>36</v>
      </c>
      <c r="Y204" t="b">
        <v>0</v>
      </c>
    </row>
    <row r="205" spans="13:25" ht="14.4" customHeight="1" x14ac:dyDescent="0.3">
      <c r="M205" s="3">
        <v>46226</v>
      </c>
      <c r="N205">
        <v>7</v>
      </c>
      <c r="O205" s="2">
        <v>4</v>
      </c>
      <c r="Q205" t="s">
        <v>95</v>
      </c>
      <c r="R205" t="s">
        <v>3</v>
      </c>
      <c r="S205" s="1" t="str">
        <f>MID(Table11[[#This Row],[Monthly plan / 月度计划]],1,2)</f>
        <v>YR</v>
      </c>
      <c r="T205" s="1" t="str">
        <f>MID(Table11[[#This Row],[Monthly plan / 月度计划]],4,4)</f>
        <v>0986</v>
      </c>
      <c r="U205" s="1" t="s">
        <v>35</v>
      </c>
      <c r="Y205" t="b">
        <v>0</v>
      </c>
    </row>
    <row r="206" spans="13:25" ht="14.4" customHeight="1" x14ac:dyDescent="0.3">
      <c r="M206" s="3">
        <v>46227</v>
      </c>
      <c r="N206">
        <v>7</v>
      </c>
      <c r="O206" s="2">
        <v>4</v>
      </c>
      <c r="Q206" t="s">
        <v>95</v>
      </c>
      <c r="R206" t="s">
        <v>3</v>
      </c>
      <c r="S206" s="1" t="str">
        <f>MID(Table11[[#This Row],[Monthly plan / 月度计划]],1,2)</f>
        <v>YR</v>
      </c>
      <c r="T206" s="1" t="str">
        <f>MID(Table11[[#This Row],[Monthly plan / 月度计划]],4,4)</f>
        <v>0946</v>
      </c>
      <c r="U206" s="1" t="s">
        <v>37</v>
      </c>
      <c r="Y206" t="b">
        <v>0</v>
      </c>
    </row>
    <row r="207" spans="13:25" ht="14.4" customHeight="1" x14ac:dyDescent="0.3">
      <c r="M207" s="3">
        <v>46228</v>
      </c>
      <c r="N207">
        <v>7</v>
      </c>
      <c r="O207" s="2">
        <v>4</v>
      </c>
      <c r="Q207" t="s">
        <v>95</v>
      </c>
      <c r="R207" t="s">
        <v>3</v>
      </c>
      <c r="S207" s="1" t="str">
        <f>MID(Table11[[#This Row],[Monthly plan / 月度计划]],1,2)</f>
        <v>YR</v>
      </c>
      <c r="T207" s="1" t="str">
        <f>MID(Table11[[#This Row],[Monthly plan / 月度计划]],4,4)</f>
        <v>0946</v>
      </c>
      <c r="U207" s="1" t="s">
        <v>32</v>
      </c>
      <c r="Y207" t="b">
        <v>0</v>
      </c>
    </row>
    <row r="208" spans="13:25" ht="14.4" customHeight="1" x14ac:dyDescent="0.3">
      <c r="M208" s="3">
        <v>46229</v>
      </c>
      <c r="N208">
        <v>7</v>
      </c>
      <c r="O208" s="2">
        <v>1</v>
      </c>
      <c r="Q208" t="s">
        <v>95</v>
      </c>
      <c r="R208" t="s">
        <v>3</v>
      </c>
      <c r="S208" s="1" t="str">
        <f>MID(Table11[[#This Row],[Monthly plan / 月度计划]],1,2)</f>
        <v>YR</v>
      </c>
      <c r="T208" s="1" t="str">
        <f>MID(Table11[[#This Row],[Monthly plan / 月度计划]],4,4)</f>
        <v>1016</v>
      </c>
      <c r="U208" s="1" t="s">
        <v>2</v>
      </c>
      <c r="Y208" t="b">
        <v>0</v>
      </c>
    </row>
    <row r="209" spans="13:25" ht="14.4" customHeight="1" x14ac:dyDescent="0.3">
      <c r="M209" s="3">
        <v>46230</v>
      </c>
      <c r="N209">
        <v>7</v>
      </c>
      <c r="O209" s="2">
        <v>1</v>
      </c>
      <c r="Q209" t="s">
        <v>95</v>
      </c>
      <c r="R209" t="s">
        <v>3</v>
      </c>
      <c r="S209" s="1" t="str">
        <f>MID(Table11[[#This Row],[Monthly plan / 月度计划]],1,2)</f>
        <v>YR</v>
      </c>
      <c r="T209" s="1" t="str">
        <f>MID(Table11[[#This Row],[Monthly plan / 月度计划]],4,4)</f>
        <v>1016</v>
      </c>
      <c r="U209" s="1" t="s">
        <v>0</v>
      </c>
      <c r="Y209" t="b">
        <v>0</v>
      </c>
    </row>
    <row r="210" spans="13:25" ht="14.4" customHeight="1" x14ac:dyDescent="0.3">
      <c r="M210" s="3">
        <v>46231</v>
      </c>
      <c r="N210">
        <v>7</v>
      </c>
      <c r="O210" s="2">
        <v>1</v>
      </c>
      <c r="Q210" t="s">
        <v>95</v>
      </c>
      <c r="R210" t="s">
        <v>3</v>
      </c>
      <c r="S210" s="1" t="str">
        <f>MID(Table11[[#This Row],[Monthly plan / 月度计划]],1,2)</f>
        <v>YR</v>
      </c>
      <c r="T210" s="1" t="str">
        <f>MID(Table11[[#This Row],[Monthly plan / 月度计划]],4,4)</f>
        <v>1001</v>
      </c>
      <c r="U210" s="1" t="s">
        <v>1</v>
      </c>
      <c r="Y210" t="b">
        <v>0</v>
      </c>
    </row>
    <row r="211" spans="13:25" ht="14.4" customHeight="1" x14ac:dyDescent="0.3">
      <c r="M211" s="3">
        <v>46232</v>
      </c>
      <c r="N211">
        <v>7</v>
      </c>
      <c r="O211" s="2">
        <v>1</v>
      </c>
      <c r="Q211" t="s">
        <v>95</v>
      </c>
      <c r="R211" t="s">
        <v>3</v>
      </c>
      <c r="S211" s="1" t="str">
        <f>MID(Table11[[#This Row],[Monthly plan / 月度计划]],1,2)</f>
        <v>YR</v>
      </c>
      <c r="T211" s="1" t="str">
        <f>MID(Table11[[#This Row],[Monthly plan / 月度计划]],4,4)</f>
        <v>0966</v>
      </c>
      <c r="U211" s="1" t="s">
        <v>34</v>
      </c>
      <c r="Y211" t="b">
        <v>0</v>
      </c>
    </row>
    <row r="212" spans="13:25" ht="14.4" customHeight="1" x14ac:dyDescent="0.3">
      <c r="M212" s="3">
        <v>46233</v>
      </c>
      <c r="N212">
        <v>7</v>
      </c>
      <c r="O212" s="2">
        <v>1</v>
      </c>
      <c r="Q212" t="s">
        <v>95</v>
      </c>
      <c r="R212" t="s">
        <v>3</v>
      </c>
      <c r="S212" s="1" t="str">
        <f>MID(Table11[[#This Row],[Monthly plan / 月度计划]],1,2)</f>
        <v>YR</v>
      </c>
      <c r="T212" s="1" t="str">
        <f>MID(Table11[[#This Row],[Monthly plan / 月度计划]],4,4)</f>
        <v>0966</v>
      </c>
      <c r="U212" s="1" t="s">
        <v>75</v>
      </c>
      <c r="Y212" t="b">
        <v>0</v>
      </c>
    </row>
    <row r="213" spans="13:25" ht="14.4" customHeight="1" x14ac:dyDescent="0.3">
      <c r="M213" s="3">
        <v>46234</v>
      </c>
      <c r="N213">
        <v>7</v>
      </c>
      <c r="O213" s="2">
        <v>1</v>
      </c>
      <c r="Q213" t="s">
        <v>95</v>
      </c>
      <c r="R213" t="s">
        <v>3</v>
      </c>
      <c r="S213" s="1" t="str">
        <f>MID(Table11[[#This Row],[Monthly plan / 月度计划]],1,2)</f>
        <v>YR</v>
      </c>
      <c r="T213" s="1" t="str">
        <f>MID(Table11[[#This Row],[Monthly plan / 月度计划]],4,4)</f>
        <v>0966</v>
      </c>
      <c r="U213" s="1" t="s">
        <v>33</v>
      </c>
      <c r="Y213" t="b">
        <v>0</v>
      </c>
    </row>
    <row r="214" spans="13:25" ht="14.4" customHeight="1" x14ac:dyDescent="0.3">
      <c r="M214" s="3">
        <v>46235</v>
      </c>
      <c r="N214">
        <v>8</v>
      </c>
      <c r="O214" s="2">
        <v>1</v>
      </c>
      <c r="Q214" t="s">
        <v>95</v>
      </c>
      <c r="R214" t="s">
        <v>3</v>
      </c>
      <c r="S214" s="1" t="str">
        <f>MID(Table11[[#This Row],[Monthly plan / 月度计划]],1,2)</f>
        <v>YR</v>
      </c>
      <c r="T214" s="1" t="str">
        <f>MID(Table11[[#This Row],[Monthly plan / 月度计划]],4,4)</f>
        <v>0946</v>
      </c>
      <c r="U214" s="1" t="s">
        <v>74</v>
      </c>
      <c r="Y214" t="b">
        <v>0</v>
      </c>
    </row>
    <row r="215" spans="13:25" ht="14.4" customHeight="1" x14ac:dyDescent="0.3">
      <c r="M215" s="3">
        <v>46236</v>
      </c>
      <c r="N215">
        <v>8</v>
      </c>
      <c r="O215" s="2">
        <v>2</v>
      </c>
      <c r="Q215" t="s">
        <v>95</v>
      </c>
      <c r="R215" t="s">
        <v>3</v>
      </c>
      <c r="S215" s="1" t="str">
        <f>MID(Table11[[#This Row],[Monthly plan / 月度计划]],1,2)</f>
        <v>YR</v>
      </c>
      <c r="T215" s="1" t="str">
        <f>MID(Table11[[#This Row],[Monthly plan / 月度计划]],4,4)</f>
        <v>0946</v>
      </c>
      <c r="U215" s="1" t="s">
        <v>73</v>
      </c>
      <c r="Y215" t="b">
        <v>0</v>
      </c>
    </row>
    <row r="216" spans="13:25" ht="14.4" customHeight="1" x14ac:dyDescent="0.3">
      <c r="M216" s="3">
        <v>46237</v>
      </c>
      <c r="N216">
        <v>8</v>
      </c>
      <c r="O216" s="2">
        <v>2</v>
      </c>
      <c r="Q216" t="s">
        <v>95</v>
      </c>
      <c r="R216" t="s">
        <v>3</v>
      </c>
      <c r="S216" s="1" t="str">
        <f>MID(Table11[[#This Row],[Monthly plan / 月度计划]],1,2)</f>
        <v>YR</v>
      </c>
      <c r="T216" s="1" t="str">
        <f>MID(Table11[[#This Row],[Monthly plan / 月度计划]],4,4)</f>
        <v>0946</v>
      </c>
      <c r="U216" s="1" t="s">
        <v>31</v>
      </c>
      <c r="Y216" t="b">
        <v>0</v>
      </c>
    </row>
    <row r="217" spans="13:25" ht="14.4" customHeight="1" x14ac:dyDescent="0.3">
      <c r="M217" s="3">
        <v>46238</v>
      </c>
      <c r="N217">
        <v>8</v>
      </c>
      <c r="O217" s="2">
        <v>2</v>
      </c>
      <c r="Q217" t="s">
        <v>95</v>
      </c>
      <c r="R217" t="s">
        <v>3</v>
      </c>
      <c r="S217" s="1" t="str">
        <f>MID(Table11[[#This Row],[Monthly plan / 月度计划]],1,2)</f>
        <v>VS</v>
      </c>
      <c r="T217" s="1" t="str">
        <f>MID(Table11[[#This Row],[Monthly plan / 月度计划]],4,4)</f>
        <v>0925</v>
      </c>
      <c r="U217" s="1" t="s">
        <v>30</v>
      </c>
      <c r="Y217" t="b">
        <v>0</v>
      </c>
    </row>
    <row r="218" spans="13:25" ht="14.4" customHeight="1" x14ac:dyDescent="0.3">
      <c r="M218" s="3">
        <v>46239</v>
      </c>
      <c r="N218">
        <v>8</v>
      </c>
      <c r="O218" s="2">
        <v>2</v>
      </c>
      <c r="Q218" t="s">
        <v>95</v>
      </c>
      <c r="R218" t="s">
        <v>3</v>
      </c>
      <c r="S218" s="1" t="str">
        <f>MID(Table11[[#This Row],[Monthly plan / 月度计划]],1,2)</f>
        <v>VS</v>
      </c>
      <c r="T218" s="1" t="str">
        <f>MID(Table11[[#This Row],[Monthly plan / 月度计划]],4,4)</f>
        <v>0905</v>
      </c>
      <c r="U218" s="1" t="s">
        <v>29</v>
      </c>
      <c r="Y218" t="b">
        <v>0</v>
      </c>
    </row>
    <row r="219" spans="13:25" ht="14.4" customHeight="1" x14ac:dyDescent="0.3">
      <c r="M219" s="3">
        <v>46240</v>
      </c>
      <c r="N219">
        <v>8</v>
      </c>
      <c r="O219" s="2">
        <v>2</v>
      </c>
      <c r="Q219" t="s">
        <v>95</v>
      </c>
      <c r="R219" t="s">
        <v>3</v>
      </c>
      <c r="S219" s="1" t="str">
        <f>MID(Table11[[#This Row],[Monthly plan / 月度计划]],1,2)</f>
        <v>VS</v>
      </c>
      <c r="T219" s="1" t="str">
        <f>MID(Table11[[#This Row],[Monthly plan / 月度计划]],4,4)</f>
        <v>0905</v>
      </c>
      <c r="U219" s="1" t="s">
        <v>72</v>
      </c>
      <c r="Y219" t="b">
        <v>0</v>
      </c>
    </row>
    <row r="220" spans="13:25" ht="14.4" customHeight="1" x14ac:dyDescent="0.3">
      <c r="M220" s="3">
        <v>46241</v>
      </c>
      <c r="N220">
        <v>8</v>
      </c>
      <c r="O220" s="2">
        <v>2</v>
      </c>
      <c r="Q220" t="s">
        <v>95</v>
      </c>
      <c r="R220" t="s">
        <v>3</v>
      </c>
      <c r="S220" s="1" t="str">
        <f>MID(Table11[[#This Row],[Monthly plan / 月度计划]],1,2)</f>
        <v>VS</v>
      </c>
      <c r="T220" s="1" t="str">
        <f>MID(Table11[[#This Row],[Monthly plan / 月度计划]],4,4)</f>
        <v>0905</v>
      </c>
      <c r="U220" s="1" t="s">
        <v>18</v>
      </c>
      <c r="Y220" t="b">
        <v>0</v>
      </c>
    </row>
    <row r="221" spans="13:25" ht="14.4" customHeight="1" x14ac:dyDescent="0.3">
      <c r="M221" s="3">
        <v>46242</v>
      </c>
      <c r="N221">
        <v>8</v>
      </c>
      <c r="O221" s="2">
        <v>2</v>
      </c>
      <c r="Q221" t="s">
        <v>95</v>
      </c>
      <c r="R221" t="s">
        <v>3</v>
      </c>
      <c r="S221" s="1" t="str">
        <f>MID(Table11[[#This Row],[Monthly plan / 月度计划]],1,2)</f>
        <v>VS</v>
      </c>
      <c r="T221" s="1" t="str">
        <f>MID(Table11[[#This Row],[Monthly plan / 月度计划]],4,4)</f>
        <v>0905</v>
      </c>
      <c r="U221" s="1" t="s">
        <v>71</v>
      </c>
      <c r="Y221" t="b">
        <v>0</v>
      </c>
    </row>
    <row r="222" spans="13:25" ht="14.4" customHeight="1" x14ac:dyDescent="0.3">
      <c r="M222" s="3">
        <v>46243</v>
      </c>
      <c r="N222">
        <v>8</v>
      </c>
      <c r="O222" s="2">
        <v>3</v>
      </c>
      <c r="Q222" t="s">
        <v>95</v>
      </c>
      <c r="R222" t="s">
        <v>3</v>
      </c>
      <c r="S222" s="1" t="str">
        <f>MID(Table11[[#This Row],[Monthly plan / 月度计划]],1,2)</f>
        <v>VS</v>
      </c>
      <c r="T222" s="1" t="str">
        <f>MID(Table11[[#This Row],[Monthly plan / 月度计划]],4,4)</f>
        <v>0885</v>
      </c>
      <c r="U222" s="1" t="s">
        <v>70</v>
      </c>
      <c r="Y222" t="b">
        <v>0</v>
      </c>
    </row>
    <row r="223" spans="13:25" ht="14.4" customHeight="1" x14ac:dyDescent="0.3">
      <c r="M223" s="3">
        <v>46244</v>
      </c>
      <c r="N223">
        <v>8</v>
      </c>
      <c r="O223" s="2">
        <v>3</v>
      </c>
      <c r="Q223" t="s">
        <v>95</v>
      </c>
      <c r="R223" t="s">
        <v>3</v>
      </c>
      <c r="S223" s="1" t="str">
        <f>MID(Table11[[#This Row],[Monthly plan / 月度计划]],1,2)</f>
        <v>VS</v>
      </c>
      <c r="T223" s="1" t="str">
        <f>MID(Table11[[#This Row],[Monthly plan / 月度计划]],4,4)</f>
        <v>0885</v>
      </c>
      <c r="U223" s="1" t="s">
        <v>27</v>
      </c>
      <c r="Y223" t="b">
        <v>0</v>
      </c>
    </row>
    <row r="224" spans="13:25" ht="14.4" customHeight="1" x14ac:dyDescent="0.3">
      <c r="M224" s="3">
        <v>46245</v>
      </c>
      <c r="N224">
        <v>8</v>
      </c>
      <c r="O224" s="2">
        <v>3</v>
      </c>
      <c r="Q224" t="s">
        <v>95</v>
      </c>
      <c r="R224" t="s">
        <v>3</v>
      </c>
      <c r="S224" s="1" t="str">
        <f>MID(Table11[[#This Row],[Monthly plan / 月度计划]],1,2)</f>
        <v>VS</v>
      </c>
      <c r="T224" s="1" t="str">
        <f>MID(Table11[[#This Row],[Monthly plan / 月度计划]],4,4)</f>
        <v>0865</v>
      </c>
      <c r="U224" s="1" t="s">
        <v>69</v>
      </c>
      <c r="Y224" t="b">
        <v>0</v>
      </c>
    </row>
    <row r="225" spans="13:25" ht="14.4" customHeight="1" x14ac:dyDescent="0.3">
      <c r="M225" s="3">
        <v>46246</v>
      </c>
      <c r="N225">
        <v>8</v>
      </c>
      <c r="O225" s="2">
        <v>3</v>
      </c>
      <c r="Q225" t="s">
        <v>95</v>
      </c>
      <c r="R225" t="s">
        <v>3</v>
      </c>
      <c r="S225" s="1" t="str">
        <f>MID(Table11[[#This Row],[Monthly plan / 月度计划]],1,2)</f>
        <v>VS</v>
      </c>
      <c r="T225" s="1" t="str">
        <f>MID(Table11[[#This Row],[Monthly plan / 月度计划]],4,4)</f>
        <v>0925</v>
      </c>
      <c r="U225" s="1" t="s">
        <v>68</v>
      </c>
      <c r="Y225" t="b">
        <v>0</v>
      </c>
    </row>
    <row r="226" spans="13:25" ht="14.4" customHeight="1" x14ac:dyDescent="0.3">
      <c r="M226" s="3">
        <v>46247</v>
      </c>
      <c r="N226">
        <v>8</v>
      </c>
      <c r="O226" s="2">
        <v>3</v>
      </c>
      <c r="Q226" t="s">
        <v>95</v>
      </c>
      <c r="R226" t="s">
        <v>3</v>
      </c>
      <c r="S226" s="1" t="str">
        <f>MID(Table11[[#This Row],[Monthly plan / 月度计划]],1,2)</f>
        <v>VS</v>
      </c>
      <c r="T226" s="1" t="str">
        <f>MID(Table11[[#This Row],[Monthly plan / 月度计划]],4,4)</f>
        <v>0905</v>
      </c>
      <c r="U226" s="1" t="s">
        <v>19</v>
      </c>
      <c r="Y226" t="b">
        <v>0</v>
      </c>
    </row>
    <row r="227" spans="13:25" ht="14.4" customHeight="1" x14ac:dyDescent="0.3">
      <c r="M227" s="3">
        <v>46248</v>
      </c>
      <c r="N227">
        <v>8</v>
      </c>
      <c r="O227" s="2">
        <v>3</v>
      </c>
      <c r="Q227" t="s">
        <v>95</v>
      </c>
      <c r="R227" t="s">
        <v>3</v>
      </c>
      <c r="S227" s="1" t="str">
        <f>MID(Table11[[#This Row],[Monthly plan / 月度计划]],1,2)</f>
        <v>VS</v>
      </c>
      <c r="T227" s="1" t="str">
        <f>MID(Table11[[#This Row],[Monthly plan / 月度计划]],4,4)</f>
        <v>0885</v>
      </c>
      <c r="U227" s="1" t="s">
        <v>26</v>
      </c>
      <c r="Y227" t="b">
        <v>0</v>
      </c>
    </row>
    <row r="228" spans="13:25" ht="14.4" customHeight="1" x14ac:dyDescent="0.3">
      <c r="M228" s="3">
        <v>46249</v>
      </c>
      <c r="N228">
        <v>8</v>
      </c>
      <c r="O228" s="2">
        <v>3</v>
      </c>
      <c r="Q228" t="s">
        <v>95</v>
      </c>
      <c r="R228" t="s">
        <v>3</v>
      </c>
      <c r="S228" s="1" t="str">
        <f>MID(Table11[[#This Row],[Monthly plan / 月度计划]],1,2)</f>
        <v>VS</v>
      </c>
      <c r="T228" s="1" t="str">
        <f>MID(Table11[[#This Row],[Monthly plan / 月度计划]],4,4)</f>
        <v>0885</v>
      </c>
      <c r="U228" s="1" t="s">
        <v>67</v>
      </c>
      <c r="Y228" t="b">
        <v>0</v>
      </c>
    </row>
    <row r="229" spans="13:25" ht="14.4" customHeight="1" x14ac:dyDescent="0.3">
      <c r="M229" s="3">
        <v>46250</v>
      </c>
      <c r="N229">
        <v>8</v>
      </c>
      <c r="O229" s="2">
        <v>4</v>
      </c>
      <c r="Q229" t="s">
        <v>66</v>
      </c>
      <c r="R229" t="s">
        <v>8</v>
      </c>
      <c r="S229" s="1" t="str">
        <f>MID(Table11[[#This Row],[Monthly plan / 月度计划]],1,2)</f>
        <v>VS</v>
      </c>
      <c r="T229" s="1" t="str">
        <f>MID(Table11[[#This Row],[Monthly plan / 月度计划]],4,4)</f>
        <v>0946</v>
      </c>
      <c r="U229" s="1" t="s">
        <v>65</v>
      </c>
      <c r="Y229" t="b">
        <v>0</v>
      </c>
    </row>
    <row r="230" spans="13:25" ht="14.4" customHeight="1" x14ac:dyDescent="0.3">
      <c r="M230" s="3">
        <v>46251</v>
      </c>
      <c r="N230">
        <v>8</v>
      </c>
      <c r="O230" s="2">
        <v>4</v>
      </c>
      <c r="Q230" t="s">
        <v>66</v>
      </c>
      <c r="R230" t="s">
        <v>8</v>
      </c>
      <c r="S230" s="1" t="str">
        <f>MID(Table11[[#This Row],[Monthly plan / 月度计划]],1,2)</f>
        <v>VS</v>
      </c>
      <c r="T230" s="1" t="str">
        <f>MID(Table11[[#This Row],[Monthly plan / 月度计划]],4,4)</f>
        <v>0946</v>
      </c>
      <c r="U230" s="1" t="s">
        <v>64</v>
      </c>
      <c r="Y230" t="b">
        <v>0</v>
      </c>
    </row>
    <row r="231" spans="13:25" ht="14.4" customHeight="1" x14ac:dyDescent="0.3">
      <c r="M231" s="3">
        <v>46252</v>
      </c>
      <c r="N231">
        <v>8</v>
      </c>
      <c r="O231" s="2">
        <v>4</v>
      </c>
      <c r="Q231" t="s">
        <v>66</v>
      </c>
      <c r="R231" t="s">
        <v>8</v>
      </c>
      <c r="S231" s="1" t="str">
        <f>MID(Table11[[#This Row],[Monthly plan / 月度计划]],1,2)</f>
        <v>VS</v>
      </c>
      <c r="T231" s="1" t="str">
        <f>MID(Table11[[#This Row],[Monthly plan / 月度计划]],4,4)</f>
        <v>0906</v>
      </c>
      <c r="U231" s="1" t="s">
        <v>63</v>
      </c>
      <c r="Y231" t="b">
        <v>0</v>
      </c>
    </row>
    <row r="232" spans="13:25" ht="14.4" customHeight="1" x14ac:dyDescent="0.3">
      <c r="M232" s="3">
        <v>46253</v>
      </c>
      <c r="N232">
        <v>8</v>
      </c>
      <c r="O232" s="2">
        <v>4</v>
      </c>
      <c r="Q232" t="s">
        <v>66</v>
      </c>
      <c r="R232" t="s">
        <v>8</v>
      </c>
      <c r="S232" s="1" t="str">
        <f>MID(Table11[[#This Row],[Monthly plan / 月度计划]],1,2)</f>
        <v>VS</v>
      </c>
      <c r="T232" s="1" t="str">
        <f>MID(Table11[[#This Row],[Monthly plan / 月度计划]],4,4)</f>
        <v>0886</v>
      </c>
      <c r="U232" s="1" t="s">
        <v>62</v>
      </c>
      <c r="Y232" t="b">
        <v>0</v>
      </c>
    </row>
    <row r="233" spans="13:25" ht="14.4" customHeight="1" x14ac:dyDescent="0.3">
      <c r="M233" s="3">
        <v>46254</v>
      </c>
      <c r="N233">
        <v>8</v>
      </c>
      <c r="O233" s="2">
        <v>4</v>
      </c>
      <c r="Q233" t="s">
        <v>66</v>
      </c>
      <c r="R233" t="s">
        <v>8</v>
      </c>
      <c r="S233" s="1" t="str">
        <f>MID(Table11[[#This Row],[Monthly plan / 月度计划]],1,2)</f>
        <v>VS</v>
      </c>
      <c r="T233" s="1" t="str">
        <f>MID(Table11[[#This Row],[Monthly plan / 月度计划]],4,4)</f>
        <v>0886</v>
      </c>
      <c r="U233" s="1" t="s">
        <v>61</v>
      </c>
      <c r="Y233" t="b">
        <v>0</v>
      </c>
    </row>
    <row r="234" spans="13:25" ht="14.4" customHeight="1" x14ac:dyDescent="0.3">
      <c r="M234" s="3">
        <v>46255</v>
      </c>
      <c r="N234">
        <v>8</v>
      </c>
      <c r="O234" s="2">
        <v>4</v>
      </c>
      <c r="Q234" t="s">
        <v>66</v>
      </c>
      <c r="R234" t="s">
        <v>8</v>
      </c>
      <c r="S234" s="1" t="str">
        <f>MID(Table11[[#This Row],[Monthly plan / 月度计划]],1,2)</f>
        <v>VS</v>
      </c>
      <c r="T234" s="1" t="str">
        <f>MID(Table11[[#This Row],[Monthly plan / 月度计划]],4,4)</f>
        <v>0866</v>
      </c>
      <c r="U234" s="1" t="s">
        <v>60</v>
      </c>
      <c r="Y234" t="b">
        <v>0</v>
      </c>
    </row>
    <row r="235" spans="13:25" ht="14.4" customHeight="1" x14ac:dyDescent="0.3">
      <c r="M235" s="3">
        <v>46256</v>
      </c>
      <c r="N235">
        <v>8</v>
      </c>
      <c r="O235" s="2">
        <v>4</v>
      </c>
      <c r="Q235" t="s">
        <v>66</v>
      </c>
      <c r="R235" t="s">
        <v>8</v>
      </c>
      <c r="S235" s="1" t="str">
        <f>MID(Table11[[#This Row],[Monthly plan / 月度计划]],1,2)</f>
        <v>VS</v>
      </c>
      <c r="T235" s="1" t="str">
        <f>MID(Table11[[#This Row],[Monthly plan / 月度计划]],4,4)</f>
        <v>0866</v>
      </c>
      <c r="U235" s="1" t="s">
        <v>59</v>
      </c>
      <c r="Y235" t="b">
        <v>0</v>
      </c>
    </row>
    <row r="236" spans="13:25" ht="14.4" customHeight="1" x14ac:dyDescent="0.3">
      <c r="M236" s="3">
        <v>46257</v>
      </c>
      <c r="N236">
        <v>8</v>
      </c>
      <c r="O236" s="2">
        <v>4</v>
      </c>
      <c r="Q236" t="s">
        <v>66</v>
      </c>
      <c r="R236" t="s">
        <v>8</v>
      </c>
      <c r="S236" s="1" t="str">
        <f>MID(Table11[[#This Row],[Monthly plan / 月度计划]],1,2)</f>
        <v>VS</v>
      </c>
      <c r="T236" s="1" t="str">
        <f>MID(Table11[[#This Row],[Monthly plan / 月度计划]],4,4)</f>
        <v>0856</v>
      </c>
      <c r="U236" s="1" t="s">
        <v>58</v>
      </c>
      <c r="Y236" t="b">
        <v>0</v>
      </c>
    </row>
    <row r="237" spans="13:25" ht="14.4" customHeight="1" x14ac:dyDescent="0.3">
      <c r="M237" s="3">
        <v>46258</v>
      </c>
      <c r="N237">
        <v>8</v>
      </c>
      <c r="O237" s="2">
        <v>4</v>
      </c>
      <c r="Q237" t="s">
        <v>66</v>
      </c>
      <c r="R237" t="s">
        <v>8</v>
      </c>
      <c r="S237" s="1" t="str">
        <f>MID(Table11[[#This Row],[Monthly plan / 月度计划]],1,2)</f>
        <v>VS</v>
      </c>
      <c r="T237" s="1" t="str">
        <f>MID(Table11[[#This Row],[Monthly plan / 月度计划]],4,4)</f>
        <v>0846</v>
      </c>
      <c r="U237" s="1" t="s">
        <v>57</v>
      </c>
      <c r="Y237" t="b">
        <v>0</v>
      </c>
    </row>
    <row r="238" spans="13:25" ht="14.4" customHeight="1" x14ac:dyDescent="0.3">
      <c r="M238" s="3">
        <v>46259</v>
      </c>
      <c r="N238">
        <v>8</v>
      </c>
      <c r="O238" s="2">
        <v>4</v>
      </c>
      <c r="Q238" t="s">
        <v>66</v>
      </c>
      <c r="R238" t="s">
        <v>8</v>
      </c>
      <c r="S238" s="1" t="str">
        <f>MID(Table11[[#This Row],[Monthly plan / 月度计划]],1,2)</f>
        <v>VS</v>
      </c>
      <c r="T238" s="1" t="str">
        <f>MID(Table11[[#This Row],[Monthly plan / 月度计划]],4,4)</f>
        <v>0846</v>
      </c>
      <c r="U238" s="1" t="s">
        <v>56</v>
      </c>
      <c r="Y238" t="b">
        <v>0</v>
      </c>
    </row>
    <row r="239" spans="13:25" ht="14.4" customHeight="1" x14ac:dyDescent="0.3">
      <c r="M239" s="3">
        <v>46260</v>
      </c>
      <c r="N239">
        <v>8</v>
      </c>
      <c r="O239" s="2">
        <v>1</v>
      </c>
      <c r="Q239" t="s">
        <v>66</v>
      </c>
      <c r="R239" t="s">
        <v>8</v>
      </c>
      <c r="S239" s="1" t="str">
        <f>MID(Table11[[#This Row],[Monthly plan / 月度计划]],1,2)</f>
        <v>VS</v>
      </c>
      <c r="T239" s="1" t="str">
        <f>MID(Table11[[#This Row],[Monthly plan / 月度计划]],4,4)</f>
        <v>0826</v>
      </c>
      <c r="U239" s="1" t="s">
        <v>55</v>
      </c>
      <c r="Y239" t="b">
        <v>0</v>
      </c>
    </row>
    <row r="240" spans="13:25" ht="14.4" customHeight="1" x14ac:dyDescent="0.3">
      <c r="M240" s="3">
        <v>46261</v>
      </c>
      <c r="N240">
        <v>8</v>
      </c>
      <c r="O240" s="2">
        <v>1</v>
      </c>
      <c r="Q240" t="s">
        <v>66</v>
      </c>
      <c r="R240" t="s">
        <v>8</v>
      </c>
      <c r="S240" s="1" t="str">
        <f>MID(Table11[[#This Row],[Monthly plan / 月度计划]],1,2)</f>
        <v>VS</v>
      </c>
      <c r="T240" s="1" t="str">
        <f>MID(Table11[[#This Row],[Monthly plan / 月度计划]],4,4)</f>
        <v>1015</v>
      </c>
      <c r="U240" s="1" t="s">
        <v>7</v>
      </c>
      <c r="Y240" t="b">
        <v>0</v>
      </c>
    </row>
    <row r="241" spans="13:25" ht="14.4" customHeight="1" x14ac:dyDescent="0.3">
      <c r="M241" s="3">
        <v>46262</v>
      </c>
      <c r="N241">
        <v>8</v>
      </c>
      <c r="O241" s="2">
        <v>1</v>
      </c>
      <c r="Q241" t="s">
        <v>66</v>
      </c>
      <c r="R241" t="s">
        <v>8</v>
      </c>
      <c r="S241" s="1" t="str">
        <f>MID(Table11[[#This Row],[Monthly plan / 月度计划]],1,2)</f>
        <v>VS</v>
      </c>
      <c r="T241" s="1" t="str">
        <f>MID(Table11[[#This Row],[Monthly plan / 月度计划]],4,4)</f>
        <v>0886</v>
      </c>
      <c r="U241" s="1" t="s">
        <v>54</v>
      </c>
      <c r="Y241" t="b">
        <v>0</v>
      </c>
    </row>
    <row r="242" spans="13:25" ht="14.4" customHeight="1" x14ac:dyDescent="0.3">
      <c r="M242" s="3">
        <v>46263</v>
      </c>
      <c r="N242">
        <v>8</v>
      </c>
      <c r="O242" s="2">
        <v>1</v>
      </c>
      <c r="Q242" t="s">
        <v>66</v>
      </c>
      <c r="R242" t="s">
        <v>8</v>
      </c>
      <c r="S242" s="1" t="str">
        <f>MID(Table11[[#This Row],[Monthly plan / 月度计划]],1,2)</f>
        <v>VS</v>
      </c>
      <c r="T242" s="1" t="str">
        <f>MID(Table11[[#This Row],[Monthly plan / 月度计划]],4,4)</f>
        <v>0866</v>
      </c>
      <c r="U242" s="1" t="s">
        <v>53</v>
      </c>
      <c r="Y242" t="b">
        <v>0</v>
      </c>
    </row>
    <row r="243" spans="13:25" ht="14.4" customHeight="1" x14ac:dyDescent="0.3">
      <c r="M243" s="3">
        <v>46264</v>
      </c>
      <c r="N243">
        <v>8</v>
      </c>
      <c r="O243" s="2">
        <v>2</v>
      </c>
      <c r="Q243" t="s">
        <v>66</v>
      </c>
      <c r="R243" t="s">
        <v>8</v>
      </c>
      <c r="S243" s="1" t="str">
        <f>MID(Table11[[#This Row],[Monthly plan / 月度计划]],1,2)</f>
        <v>VS</v>
      </c>
      <c r="T243" s="1" t="str">
        <f>MID(Table11[[#This Row],[Monthly plan / 月度计划]],4,4)</f>
        <v>1015</v>
      </c>
      <c r="U243" s="1" t="s">
        <v>5</v>
      </c>
      <c r="Y243" t="b">
        <v>0</v>
      </c>
    </row>
    <row r="244" spans="13:25" ht="14.4" customHeight="1" x14ac:dyDescent="0.3">
      <c r="M244" s="3">
        <v>46265</v>
      </c>
      <c r="N244">
        <v>8</v>
      </c>
      <c r="O244" s="2">
        <v>2</v>
      </c>
      <c r="Q244" t="s">
        <v>66</v>
      </c>
      <c r="R244" t="s">
        <v>8</v>
      </c>
      <c r="S244" s="1" t="str">
        <f>MID(Table11[[#This Row],[Monthly plan / 月度计划]],1,2)</f>
        <v>VS</v>
      </c>
      <c r="T244" s="1" t="str">
        <f>MID(Table11[[#This Row],[Monthly plan / 月度计划]],4,4)</f>
        <v>1000</v>
      </c>
      <c r="U244" s="1" t="s">
        <v>6</v>
      </c>
      <c r="Y244" t="b">
        <v>0</v>
      </c>
    </row>
    <row r="245" spans="13:25" ht="14.4" customHeight="1" x14ac:dyDescent="0.3">
      <c r="M245" s="3">
        <v>46266</v>
      </c>
      <c r="N245">
        <v>9</v>
      </c>
      <c r="O245" s="2">
        <v>2</v>
      </c>
      <c r="Q245" t="s">
        <v>66</v>
      </c>
      <c r="R245" t="s">
        <v>8</v>
      </c>
      <c r="S245" s="1" t="str">
        <f>MID(Table11[[#This Row],[Monthly plan / 月度计划]],1,2)</f>
        <v>VS</v>
      </c>
      <c r="T245" s="1" t="str">
        <f>MID(Table11[[#This Row],[Monthly plan / 月度计划]],4,4)</f>
        <v>0986</v>
      </c>
      <c r="U245" s="1" t="s">
        <v>52</v>
      </c>
      <c r="Y245" t="b">
        <v>0</v>
      </c>
    </row>
    <row r="246" spans="13:25" ht="14.4" customHeight="1" x14ac:dyDescent="0.3">
      <c r="M246" s="3">
        <v>46267</v>
      </c>
      <c r="N246">
        <v>9</v>
      </c>
      <c r="O246" s="2">
        <v>2</v>
      </c>
      <c r="Q246" t="s">
        <v>66</v>
      </c>
      <c r="R246" t="s">
        <v>8</v>
      </c>
      <c r="S246" s="1" t="str">
        <f>MID(Table11[[#This Row],[Monthly plan / 月度计划]],1,2)</f>
        <v>VS</v>
      </c>
      <c r="T246" s="1" t="str">
        <f>MID(Table11[[#This Row],[Monthly plan / 月度计划]],4,4)</f>
        <v>0986</v>
      </c>
      <c r="U246" s="1" t="s">
        <v>51</v>
      </c>
      <c r="Y246" t="b">
        <v>0</v>
      </c>
    </row>
    <row r="247" spans="13:25" ht="14.4" customHeight="1" x14ac:dyDescent="0.3">
      <c r="M247" s="3">
        <v>46268</v>
      </c>
      <c r="N247">
        <v>9</v>
      </c>
      <c r="O247" s="2">
        <v>2</v>
      </c>
      <c r="Q247" t="s">
        <v>66</v>
      </c>
      <c r="R247" t="s">
        <v>8</v>
      </c>
      <c r="S247" s="1" t="str">
        <f>MID(Table11[[#This Row],[Monthly plan / 月度计划]],1,2)</f>
        <v>VS</v>
      </c>
      <c r="T247" s="1" t="str">
        <f>MID(Table11[[#This Row],[Monthly plan / 月度计划]],4,4)</f>
        <v>0986</v>
      </c>
      <c r="U247" s="1" t="s">
        <v>50</v>
      </c>
      <c r="Y247" t="b">
        <v>0</v>
      </c>
    </row>
    <row r="248" spans="13:25" ht="14.4" customHeight="1" x14ac:dyDescent="0.3">
      <c r="M248" s="3">
        <v>46269</v>
      </c>
      <c r="N248">
        <v>9</v>
      </c>
      <c r="O248" s="2">
        <v>2</v>
      </c>
      <c r="Q248" t="s">
        <v>66</v>
      </c>
      <c r="R248" t="s">
        <v>8</v>
      </c>
      <c r="S248" s="1" t="str">
        <f>MID(Table11[[#This Row],[Monthly plan / 月度计划]],1,2)</f>
        <v>VS</v>
      </c>
      <c r="T248" s="1" t="str">
        <f>MID(Table11[[#This Row],[Monthly plan / 月度计划]],4,4)</f>
        <v>0966</v>
      </c>
      <c r="U248" s="1" t="s">
        <v>49</v>
      </c>
      <c r="Y248" t="b">
        <v>0</v>
      </c>
    </row>
    <row r="249" spans="13:25" ht="14.4" customHeight="1" x14ac:dyDescent="0.3">
      <c r="M249" s="3">
        <v>46270</v>
      </c>
      <c r="N249">
        <v>9</v>
      </c>
      <c r="O249" s="2">
        <v>2</v>
      </c>
      <c r="Q249" t="s">
        <v>66</v>
      </c>
      <c r="R249" t="s">
        <v>8</v>
      </c>
      <c r="S249" s="1" t="str">
        <f>MID(Table11[[#This Row],[Monthly plan / 月度计划]],1,2)</f>
        <v>VS</v>
      </c>
      <c r="T249" s="1" t="str">
        <f>MID(Table11[[#This Row],[Monthly plan / 月度计划]],4,4)</f>
        <v>0966</v>
      </c>
      <c r="U249" s="1" t="s">
        <v>48</v>
      </c>
      <c r="Y249" t="b">
        <v>0</v>
      </c>
    </row>
    <row r="250" spans="13:25" ht="14.4" customHeight="1" x14ac:dyDescent="0.3">
      <c r="M250" s="3">
        <v>46271</v>
      </c>
      <c r="N250">
        <v>9</v>
      </c>
      <c r="O250" s="2">
        <v>3</v>
      </c>
      <c r="Q250" t="s">
        <v>66</v>
      </c>
      <c r="R250" t="s">
        <v>8</v>
      </c>
      <c r="S250" s="1" t="str">
        <f>MID(Table11[[#This Row],[Monthly plan / 月度计划]],1,2)</f>
        <v>VS</v>
      </c>
      <c r="T250" s="1" t="str">
        <f>MID(Table11[[#This Row],[Monthly plan / 月度计划]],4,4)</f>
        <v>0926</v>
      </c>
      <c r="U250" s="1" t="s">
        <v>47</v>
      </c>
      <c r="Y250" t="b">
        <v>0</v>
      </c>
    </row>
    <row r="251" spans="13:25" ht="14.4" customHeight="1" x14ac:dyDescent="0.3">
      <c r="M251" s="3">
        <v>46272</v>
      </c>
      <c r="N251">
        <v>9</v>
      </c>
      <c r="O251" s="2">
        <v>3</v>
      </c>
      <c r="Q251" t="s">
        <v>66</v>
      </c>
      <c r="R251" t="s">
        <v>8</v>
      </c>
      <c r="S251" s="1" t="str">
        <f>MID(Table11[[#This Row],[Monthly plan / 月度计划]],1,2)</f>
        <v>VS</v>
      </c>
      <c r="T251" s="1" t="str">
        <f>MID(Table11[[#This Row],[Monthly plan / 月度计划]],4,4)</f>
        <v>0906</v>
      </c>
      <c r="U251" s="1" t="s">
        <v>46</v>
      </c>
      <c r="Y251" t="b">
        <v>0</v>
      </c>
    </row>
    <row r="252" spans="13:25" ht="14.4" customHeight="1" x14ac:dyDescent="0.3">
      <c r="M252" s="3">
        <v>46273</v>
      </c>
      <c r="N252">
        <v>9</v>
      </c>
      <c r="O252" s="2">
        <v>3</v>
      </c>
      <c r="Q252" t="s">
        <v>66</v>
      </c>
      <c r="R252" t="s">
        <v>8</v>
      </c>
      <c r="S252" s="1" t="str">
        <f>MID(Table11[[#This Row],[Monthly plan / 月度计划]],1,2)</f>
        <v>VS</v>
      </c>
      <c r="T252" s="1" t="str">
        <f>MID(Table11[[#This Row],[Monthly plan / 月度计划]],4,4)</f>
        <v>0866</v>
      </c>
      <c r="U252" s="1" t="s">
        <v>45</v>
      </c>
      <c r="Y252" t="b">
        <v>0</v>
      </c>
    </row>
    <row r="253" spans="13:25" ht="14.4" customHeight="1" x14ac:dyDescent="0.3">
      <c r="M253" s="3">
        <v>46274</v>
      </c>
      <c r="N253">
        <v>9</v>
      </c>
      <c r="O253" s="2">
        <v>3</v>
      </c>
      <c r="Q253" t="s">
        <v>66</v>
      </c>
      <c r="R253" t="s">
        <v>8</v>
      </c>
      <c r="S253" s="1" t="str">
        <f>MID(Table11[[#This Row],[Monthly plan / 月度计划]],1,2)</f>
        <v>YR</v>
      </c>
      <c r="T253" s="1" t="str">
        <f>MID(Table11[[#This Row],[Monthly plan / 月度计划]],4,4)</f>
        <v>0926</v>
      </c>
      <c r="U253" s="1" t="s">
        <v>44</v>
      </c>
      <c r="Y253" t="b">
        <v>0</v>
      </c>
    </row>
    <row r="254" spans="13:25" ht="14.4" customHeight="1" x14ac:dyDescent="0.3">
      <c r="M254" s="3">
        <v>46275</v>
      </c>
      <c r="N254">
        <v>9</v>
      </c>
      <c r="O254" s="2">
        <v>3</v>
      </c>
      <c r="Q254" t="s">
        <v>66</v>
      </c>
      <c r="R254" t="s">
        <v>8</v>
      </c>
      <c r="S254" s="1" t="str">
        <f>MID(Table11[[#This Row],[Monthly plan / 月度计划]],1,2)</f>
        <v>YR</v>
      </c>
      <c r="T254" s="1" t="str">
        <f>MID(Table11[[#This Row],[Monthly plan / 月度计划]],4,4)</f>
        <v>0906</v>
      </c>
      <c r="U254" s="1" t="s">
        <v>43</v>
      </c>
      <c r="Y254" t="b">
        <v>0</v>
      </c>
    </row>
    <row r="255" spans="13:25" ht="14.4" customHeight="1" x14ac:dyDescent="0.3">
      <c r="M255" s="3">
        <v>46276</v>
      </c>
      <c r="N255">
        <v>9</v>
      </c>
      <c r="O255" s="2">
        <v>3</v>
      </c>
      <c r="Q255" t="s">
        <v>66</v>
      </c>
      <c r="R255" t="s">
        <v>8</v>
      </c>
      <c r="S255" s="1" t="str">
        <f>MID(Table11[[#This Row],[Monthly plan / 月度计划]],1,2)</f>
        <v>YR</v>
      </c>
      <c r="T255" s="1" t="str">
        <f>MID(Table11[[#This Row],[Monthly plan / 月度计划]],4,4)</f>
        <v>0906</v>
      </c>
      <c r="U255" s="1" t="s">
        <v>42</v>
      </c>
      <c r="Y255" t="b">
        <v>0</v>
      </c>
    </row>
    <row r="256" spans="13:25" ht="14.4" customHeight="1" x14ac:dyDescent="0.3">
      <c r="M256" s="3">
        <v>46277</v>
      </c>
      <c r="N256">
        <v>9</v>
      </c>
      <c r="O256" s="2">
        <v>3</v>
      </c>
      <c r="Q256" t="s">
        <v>66</v>
      </c>
      <c r="R256" t="s">
        <v>8</v>
      </c>
      <c r="S256" s="1" t="str">
        <f>MID(Table11[[#This Row],[Monthly plan / 月度计划]],1,2)</f>
        <v>YR</v>
      </c>
      <c r="T256" s="1" t="str">
        <f>MID(Table11[[#This Row],[Monthly plan / 月度计划]],4,4)</f>
        <v>0886</v>
      </c>
      <c r="U256" s="1" t="s">
        <v>41</v>
      </c>
      <c r="Y256" t="b">
        <v>0</v>
      </c>
    </row>
    <row r="257" spans="13:25" ht="14.4" customHeight="1" x14ac:dyDescent="0.3">
      <c r="M257" s="3">
        <v>46278</v>
      </c>
      <c r="N257">
        <v>9</v>
      </c>
      <c r="O257" s="2">
        <v>4</v>
      </c>
      <c r="Q257" t="s">
        <v>66</v>
      </c>
      <c r="R257" t="s">
        <v>8</v>
      </c>
      <c r="S257" s="1" t="str">
        <f>MID(Table11[[#This Row],[Monthly plan / 月度计划]],1,2)</f>
        <v>YR</v>
      </c>
      <c r="T257" s="1" t="str">
        <f>MID(Table11[[#This Row],[Monthly plan / 月度计划]],4,4)</f>
        <v>0886</v>
      </c>
      <c r="U257" s="1" t="s">
        <v>40</v>
      </c>
      <c r="Y257" t="b">
        <v>0</v>
      </c>
    </row>
    <row r="258" spans="13:25" ht="14.4" customHeight="1" x14ac:dyDescent="0.3">
      <c r="M258" s="3">
        <v>46279</v>
      </c>
      <c r="N258">
        <v>9</v>
      </c>
      <c r="O258" s="2">
        <v>4</v>
      </c>
      <c r="Q258" t="s">
        <v>66</v>
      </c>
      <c r="R258" t="s">
        <v>8</v>
      </c>
      <c r="S258" s="1" t="str">
        <f>MID(Table11[[#This Row],[Monthly plan / 月度计划]],1,2)</f>
        <v>YR</v>
      </c>
      <c r="T258" s="1" t="str">
        <f>MID(Table11[[#This Row],[Monthly plan / 月度计划]],4,4)</f>
        <v>0876</v>
      </c>
      <c r="U258" s="1" t="s">
        <v>39</v>
      </c>
      <c r="Y258" t="b">
        <v>0</v>
      </c>
    </row>
    <row r="259" spans="13:25" ht="14.4" customHeight="1" x14ac:dyDescent="0.3">
      <c r="M259" s="3">
        <v>46280</v>
      </c>
      <c r="N259">
        <v>9</v>
      </c>
      <c r="O259" s="2">
        <v>4</v>
      </c>
      <c r="Q259" t="s">
        <v>66</v>
      </c>
      <c r="R259" t="s">
        <v>8</v>
      </c>
      <c r="S259" s="1" t="str">
        <f>MID(Table11[[#This Row],[Monthly plan / 月度计划]],1,2)</f>
        <v>YR</v>
      </c>
      <c r="T259" s="1" t="str">
        <f>MID(Table11[[#This Row],[Monthly plan / 月度计划]],4,4)</f>
        <v>0866</v>
      </c>
      <c r="U259" s="1" t="s">
        <v>38</v>
      </c>
      <c r="Y259" t="b">
        <v>0</v>
      </c>
    </row>
    <row r="260" spans="13:25" ht="14.4" customHeight="1" x14ac:dyDescent="0.3">
      <c r="M260" s="3">
        <v>46281</v>
      </c>
      <c r="N260">
        <v>9</v>
      </c>
      <c r="O260" s="2">
        <v>4</v>
      </c>
      <c r="Q260" t="s">
        <v>66</v>
      </c>
      <c r="R260" t="s">
        <v>8</v>
      </c>
      <c r="S260" s="1" t="str">
        <f>MID(Table11[[#This Row],[Monthly plan / 月度计划]],1,2)</f>
        <v>YR</v>
      </c>
      <c r="T260" s="1" t="str">
        <f>MID(Table11[[#This Row],[Monthly plan / 月度计划]],4,4)</f>
        <v>0946</v>
      </c>
      <c r="U260" s="1" t="s">
        <v>37</v>
      </c>
      <c r="Y260" t="b">
        <v>0</v>
      </c>
    </row>
    <row r="261" spans="13:25" ht="14.4" customHeight="1" x14ac:dyDescent="0.3">
      <c r="M261" s="3">
        <v>46282</v>
      </c>
      <c r="N261">
        <v>9</v>
      </c>
      <c r="O261" s="2">
        <v>4</v>
      </c>
      <c r="Q261" t="s">
        <v>66</v>
      </c>
      <c r="R261" t="s">
        <v>8</v>
      </c>
      <c r="S261" s="1" t="str">
        <f>MID(Table11[[#This Row],[Monthly plan / 月度计划]],1,2)</f>
        <v>YR</v>
      </c>
      <c r="T261" s="1" t="str">
        <f>MID(Table11[[#This Row],[Monthly plan / 月度计划]],4,4)</f>
        <v>1016</v>
      </c>
      <c r="U261" s="1" t="s">
        <v>0</v>
      </c>
      <c r="Y261" t="b">
        <v>0</v>
      </c>
    </row>
    <row r="262" spans="13:25" ht="14.4" customHeight="1" x14ac:dyDescent="0.3">
      <c r="M262" s="3">
        <v>46283</v>
      </c>
      <c r="N262">
        <v>9</v>
      </c>
      <c r="O262" s="2">
        <v>4</v>
      </c>
      <c r="Q262" t="s">
        <v>66</v>
      </c>
      <c r="R262" t="s">
        <v>8</v>
      </c>
      <c r="S262" s="1" t="str">
        <f>MID(Table11[[#This Row],[Monthly plan / 月度计划]],1,2)</f>
        <v>YR</v>
      </c>
      <c r="T262" s="1" t="str">
        <f>MID(Table11[[#This Row],[Monthly plan / 月度计划]],4,4)</f>
        <v>1001</v>
      </c>
      <c r="U262" s="1" t="s">
        <v>1</v>
      </c>
      <c r="Y262" t="b">
        <v>0</v>
      </c>
    </row>
    <row r="263" spans="13:25" ht="14.4" customHeight="1" x14ac:dyDescent="0.3">
      <c r="M263" s="3">
        <v>46284</v>
      </c>
      <c r="N263">
        <v>9</v>
      </c>
      <c r="O263" s="2">
        <v>4</v>
      </c>
      <c r="Q263" t="s">
        <v>66</v>
      </c>
      <c r="R263" t="s">
        <v>8</v>
      </c>
      <c r="S263" s="1" t="str">
        <f>MID(Table11[[#This Row],[Monthly plan / 月度计划]],1,2)</f>
        <v>YR</v>
      </c>
      <c r="T263" s="1" t="str">
        <f>MID(Table11[[#This Row],[Monthly plan / 月度计划]],4,4)</f>
        <v>0986</v>
      </c>
      <c r="U263" s="1" t="s">
        <v>36</v>
      </c>
      <c r="Y263" t="b">
        <v>0</v>
      </c>
    </row>
    <row r="264" spans="13:25" ht="14.4" customHeight="1" x14ac:dyDescent="0.3">
      <c r="M264" s="3">
        <v>46285</v>
      </c>
      <c r="N264">
        <v>9</v>
      </c>
      <c r="O264" s="2">
        <v>5</v>
      </c>
      <c r="Q264" t="s">
        <v>66</v>
      </c>
      <c r="R264" t="s">
        <v>8</v>
      </c>
      <c r="S264" s="1" t="str">
        <f>MID(Table11[[#This Row],[Monthly plan / 月度计划]],1,2)</f>
        <v>YR</v>
      </c>
      <c r="T264" s="1" t="str">
        <f>MID(Table11[[#This Row],[Monthly plan / 月度计划]],4,4)</f>
        <v>0986</v>
      </c>
      <c r="U264" s="1" t="s">
        <v>35</v>
      </c>
      <c r="Y264" t="b">
        <v>0</v>
      </c>
    </row>
    <row r="265" spans="13:25" ht="14.4" customHeight="1" x14ac:dyDescent="0.3">
      <c r="M265" s="3">
        <v>46286</v>
      </c>
      <c r="N265">
        <v>9</v>
      </c>
      <c r="O265" s="2">
        <v>5</v>
      </c>
      <c r="Q265" t="s">
        <v>66</v>
      </c>
      <c r="R265" t="s">
        <v>8</v>
      </c>
      <c r="S265" s="1" t="str">
        <f>MID(Table11[[#This Row],[Monthly plan / 月度计划]],1,2)</f>
        <v>YR</v>
      </c>
      <c r="T265" s="1" t="str">
        <f>MID(Table11[[#This Row],[Monthly plan / 月度计划]],4,4)</f>
        <v>0966</v>
      </c>
      <c r="U265" s="1" t="s">
        <v>34</v>
      </c>
      <c r="Y265" t="b">
        <v>0</v>
      </c>
    </row>
    <row r="266" spans="13:25" ht="14.4" customHeight="1" x14ac:dyDescent="0.3">
      <c r="M266" s="3">
        <v>46287</v>
      </c>
      <c r="N266">
        <v>9</v>
      </c>
      <c r="O266" s="2">
        <v>5</v>
      </c>
      <c r="Q266" t="s">
        <v>66</v>
      </c>
      <c r="R266" t="s">
        <v>8</v>
      </c>
      <c r="S266" s="1" t="str">
        <f>MID(Table11[[#This Row],[Monthly plan / 月度计划]],1,2)</f>
        <v>YR</v>
      </c>
      <c r="T266" s="1" t="str">
        <f>MID(Table11[[#This Row],[Monthly plan / 月度计划]],4,4)</f>
        <v>0966</v>
      </c>
      <c r="U266" s="1" t="s">
        <v>33</v>
      </c>
      <c r="Y266" t="b">
        <v>0</v>
      </c>
    </row>
    <row r="267" spans="13:25" ht="14.4" customHeight="1" x14ac:dyDescent="0.3">
      <c r="M267" s="3">
        <v>46288</v>
      </c>
      <c r="N267">
        <v>9</v>
      </c>
      <c r="O267" s="2">
        <v>5</v>
      </c>
      <c r="Q267" t="s">
        <v>66</v>
      </c>
      <c r="R267" t="s">
        <v>8</v>
      </c>
      <c r="S267" s="1" t="str">
        <f>MID(Table11[[#This Row],[Monthly plan / 月度计划]],1,2)</f>
        <v>YR</v>
      </c>
      <c r="T267" s="1" t="str">
        <f>MID(Table11[[#This Row],[Monthly plan / 月度计划]],4,4)</f>
        <v>0946</v>
      </c>
      <c r="U267" s="1" t="s">
        <v>32</v>
      </c>
      <c r="Y267" t="b">
        <v>0</v>
      </c>
    </row>
    <row r="268" spans="13:25" ht="14.4" customHeight="1" x14ac:dyDescent="0.3">
      <c r="M268" s="3">
        <v>46289</v>
      </c>
      <c r="N268">
        <v>9</v>
      </c>
      <c r="O268" s="2">
        <v>5</v>
      </c>
      <c r="Q268" t="s">
        <v>66</v>
      </c>
      <c r="R268" t="s">
        <v>8</v>
      </c>
      <c r="S268" s="1" t="str">
        <f>MID(Table11[[#This Row],[Monthly plan / 月度计划]],1,2)</f>
        <v>YR</v>
      </c>
      <c r="T268" s="1" t="str">
        <f>MID(Table11[[#This Row],[Monthly plan / 月度计划]],4,4)</f>
        <v>0946</v>
      </c>
      <c r="U268" s="1" t="s">
        <v>31</v>
      </c>
      <c r="Y268" t="b">
        <v>0</v>
      </c>
    </row>
    <row r="269" spans="13:25" ht="14.4" customHeight="1" x14ac:dyDescent="0.3">
      <c r="M269" s="3">
        <v>46290</v>
      </c>
      <c r="N269">
        <v>9</v>
      </c>
      <c r="O269" s="2">
        <v>5</v>
      </c>
      <c r="Q269" t="s">
        <v>66</v>
      </c>
      <c r="R269" t="s">
        <v>8</v>
      </c>
      <c r="S269" s="1" t="str">
        <f>MID(Table11[[#This Row],[Monthly plan / 月度计划]],1,2)</f>
        <v>VS</v>
      </c>
      <c r="T269" s="1" t="str">
        <f>MID(Table11[[#This Row],[Monthly plan / 月度计划]],4,4)</f>
        <v>0925</v>
      </c>
      <c r="U269" s="1" t="s">
        <v>30</v>
      </c>
      <c r="Y269" t="b">
        <v>0</v>
      </c>
    </row>
    <row r="270" spans="13:25" ht="14.4" customHeight="1" x14ac:dyDescent="0.3">
      <c r="M270" s="3">
        <v>46291</v>
      </c>
      <c r="N270">
        <v>9</v>
      </c>
      <c r="O270" s="2">
        <v>1</v>
      </c>
      <c r="Q270" t="s">
        <v>66</v>
      </c>
      <c r="R270" t="s">
        <v>8</v>
      </c>
      <c r="S270" s="1" t="str">
        <f>MID(Table11[[#This Row],[Monthly plan / 月度计划]],1,2)</f>
        <v>VS</v>
      </c>
      <c r="T270" s="1" t="str">
        <f>MID(Table11[[#This Row],[Monthly plan / 月度计划]],4,4)</f>
        <v>0905</v>
      </c>
      <c r="U270" s="1" t="s">
        <v>29</v>
      </c>
      <c r="Y270" t="b">
        <v>0</v>
      </c>
    </row>
    <row r="271" spans="13:25" ht="14.4" customHeight="1" x14ac:dyDescent="0.3">
      <c r="M271" s="3">
        <v>46292</v>
      </c>
      <c r="N271">
        <v>9</v>
      </c>
      <c r="O271" s="2">
        <v>1</v>
      </c>
      <c r="Q271" t="s">
        <v>66</v>
      </c>
      <c r="R271" t="s">
        <v>8</v>
      </c>
      <c r="S271" s="1" t="str">
        <f>MID(Table11[[#This Row],[Monthly plan / 月度计划]],1,2)</f>
        <v>VS</v>
      </c>
      <c r="T271" s="1" t="str">
        <f>MID(Table11[[#This Row],[Monthly plan / 月度计划]],4,4)</f>
        <v>0905</v>
      </c>
      <c r="U271" s="1" t="s">
        <v>28</v>
      </c>
      <c r="Y271" t="b">
        <v>0</v>
      </c>
    </row>
    <row r="272" spans="13:25" ht="14.4" customHeight="1" x14ac:dyDescent="0.3">
      <c r="M272" s="3">
        <v>46293</v>
      </c>
      <c r="N272">
        <v>9</v>
      </c>
      <c r="O272" s="2">
        <v>1</v>
      </c>
      <c r="Q272" t="s">
        <v>66</v>
      </c>
      <c r="R272" t="s">
        <v>8</v>
      </c>
      <c r="S272" s="1" t="str">
        <f>MID(Table11[[#This Row],[Monthly plan / 月度计划]],1,2)</f>
        <v>VS</v>
      </c>
      <c r="T272" s="1" t="str">
        <f>MID(Table11[[#This Row],[Monthly plan / 月度计划]],4,4)</f>
        <v>0885</v>
      </c>
      <c r="U272" s="1" t="s">
        <v>27</v>
      </c>
      <c r="Y272" t="b">
        <v>0</v>
      </c>
    </row>
    <row r="273" spans="13:25" ht="14.4" customHeight="1" x14ac:dyDescent="0.3">
      <c r="M273" s="3">
        <v>46294</v>
      </c>
      <c r="N273">
        <v>9</v>
      </c>
      <c r="O273" s="2">
        <v>1</v>
      </c>
      <c r="Q273" t="s">
        <v>66</v>
      </c>
      <c r="R273" t="s">
        <v>8</v>
      </c>
      <c r="S273" s="1" t="str">
        <f>MID(Table11[[#This Row],[Monthly plan / 月度计划]],1,2)</f>
        <v>VS</v>
      </c>
      <c r="T273" s="1" t="str">
        <f>MID(Table11[[#This Row],[Monthly plan / 月度计划]],4,4)</f>
        <v>0885</v>
      </c>
      <c r="U273" s="1" t="s">
        <v>26</v>
      </c>
      <c r="Y273" t="b">
        <v>0</v>
      </c>
    </row>
    <row r="274" spans="13:25" ht="14.4" customHeight="1" x14ac:dyDescent="0.3">
      <c r="M274" s="3">
        <v>46295</v>
      </c>
      <c r="N274">
        <v>9</v>
      </c>
      <c r="O274" s="2">
        <v>1</v>
      </c>
      <c r="Q274" t="s">
        <v>66</v>
      </c>
      <c r="R274" t="s">
        <v>8</v>
      </c>
      <c r="S274" s="1" t="str">
        <f>MID(Table11[[#This Row],[Monthly plan / 月度计划]],1,2)</f>
        <v>VS</v>
      </c>
      <c r="T274" s="1" t="str">
        <f>MID(Table11[[#This Row],[Monthly plan / 月度计划]],4,4)</f>
        <v>0885</v>
      </c>
      <c r="U274" s="1" t="s">
        <v>25</v>
      </c>
      <c r="Y274" t="b">
        <v>0</v>
      </c>
    </row>
    <row r="275" spans="13:25" ht="14.4" customHeight="1" x14ac:dyDescent="0.3">
      <c r="M275" s="3">
        <v>46296</v>
      </c>
      <c r="N275">
        <v>10</v>
      </c>
      <c r="O275" s="2">
        <v>1</v>
      </c>
      <c r="Q275" t="s">
        <v>66</v>
      </c>
      <c r="R275" t="s">
        <v>8</v>
      </c>
      <c r="S275" s="1" t="str">
        <f>MID(Table11[[#This Row],[Monthly plan / 月度计划]],1,2)</f>
        <v>VS</v>
      </c>
      <c r="T275" s="1" t="str">
        <f>MID(Table11[[#This Row],[Monthly plan / 月度计划]],4,4)</f>
        <v>0885</v>
      </c>
      <c r="U275" s="1" t="s">
        <v>24</v>
      </c>
      <c r="Y275" t="b">
        <v>0</v>
      </c>
    </row>
    <row r="276" spans="13:25" ht="14.4" customHeight="1" x14ac:dyDescent="0.3">
      <c r="M276" s="3">
        <v>46297</v>
      </c>
      <c r="N276">
        <v>10</v>
      </c>
      <c r="O276" s="2">
        <v>1</v>
      </c>
      <c r="Q276" t="s">
        <v>66</v>
      </c>
      <c r="R276" t="s">
        <v>8</v>
      </c>
      <c r="S276" s="1" t="str">
        <f>MID(Table11[[#This Row],[Monthly plan / 月度计划]],1,2)</f>
        <v>VS</v>
      </c>
      <c r="T276" s="1" t="str">
        <f>MID(Table11[[#This Row],[Monthly plan / 月度计划]],4,4)</f>
        <v>0875</v>
      </c>
      <c r="U276" s="1" t="s">
        <v>23</v>
      </c>
      <c r="Y276" t="b">
        <v>0</v>
      </c>
    </row>
    <row r="277" spans="13:25" ht="14.4" customHeight="1" x14ac:dyDescent="0.3">
      <c r="M277" s="3">
        <v>46298</v>
      </c>
      <c r="N277">
        <v>10</v>
      </c>
      <c r="O277" s="2">
        <v>1</v>
      </c>
      <c r="Q277" t="s">
        <v>66</v>
      </c>
      <c r="R277" t="s">
        <v>8</v>
      </c>
      <c r="S277" s="1" t="str">
        <f>MID(Table11[[#This Row],[Monthly plan / 月度计划]],1,2)</f>
        <v>VS</v>
      </c>
      <c r="T277" s="1" t="str">
        <f>MID(Table11[[#This Row],[Monthly plan / 月度计划]],4,4)</f>
        <v>0865</v>
      </c>
      <c r="U277" s="1" t="s">
        <v>22</v>
      </c>
      <c r="Y277" t="b">
        <v>0</v>
      </c>
    </row>
    <row r="278" spans="13:25" ht="14.4" customHeight="1" x14ac:dyDescent="0.3">
      <c r="M278" s="3">
        <v>46299</v>
      </c>
      <c r="N278">
        <v>10</v>
      </c>
      <c r="O278" s="2">
        <v>2</v>
      </c>
      <c r="Q278" t="s">
        <v>66</v>
      </c>
      <c r="R278" t="s">
        <v>8</v>
      </c>
      <c r="S278" s="1" t="str">
        <f>MID(Table11[[#This Row],[Monthly plan / 月度计划]],1,2)</f>
        <v>VS</v>
      </c>
      <c r="T278" s="1" t="str">
        <f>MID(Table11[[#This Row],[Monthly plan / 月度计划]],4,4)</f>
        <v>0865</v>
      </c>
      <c r="U278" s="1" t="s">
        <v>21</v>
      </c>
      <c r="Y278" t="b">
        <v>0</v>
      </c>
    </row>
    <row r="279" spans="13:25" ht="14.4" customHeight="1" x14ac:dyDescent="0.3">
      <c r="M279" s="3">
        <v>46300</v>
      </c>
      <c r="N279">
        <v>10</v>
      </c>
      <c r="O279" s="2">
        <v>2</v>
      </c>
      <c r="Q279" t="s">
        <v>66</v>
      </c>
      <c r="R279" t="s">
        <v>8</v>
      </c>
      <c r="S279" s="1" t="str">
        <f>MID(Table11[[#This Row],[Monthly plan / 月度计划]],1,2)</f>
        <v>VS</v>
      </c>
      <c r="T279" s="1" t="str">
        <f>MID(Table11[[#This Row],[Monthly plan / 月度计划]],4,4)</f>
        <v>0845</v>
      </c>
      <c r="U279" s="1" t="s">
        <v>20</v>
      </c>
      <c r="Y279" t="b">
        <v>0</v>
      </c>
    </row>
    <row r="280" spans="13:25" ht="14.4" customHeight="1" x14ac:dyDescent="0.3">
      <c r="M280" s="3">
        <v>46301</v>
      </c>
      <c r="N280">
        <v>10</v>
      </c>
      <c r="O280" s="2">
        <v>2</v>
      </c>
      <c r="Q280" t="s">
        <v>66</v>
      </c>
      <c r="R280" t="s">
        <v>8</v>
      </c>
      <c r="S280" s="1" t="str">
        <f>MID(Table11[[#This Row],[Monthly plan / 月度计划]],1,2)</f>
        <v>VS</v>
      </c>
      <c r="T280" s="1" t="str">
        <f>MID(Table11[[#This Row],[Monthly plan / 月度计划]],4,4)</f>
        <v>0905</v>
      </c>
      <c r="U280" s="1" t="s">
        <v>19</v>
      </c>
      <c r="Y280" t="b">
        <v>0</v>
      </c>
    </row>
    <row r="281" spans="13:25" ht="14.4" customHeight="1" x14ac:dyDescent="0.3">
      <c r="M281" s="3">
        <v>46302</v>
      </c>
      <c r="N281">
        <v>10</v>
      </c>
      <c r="O281" s="2">
        <v>2</v>
      </c>
      <c r="Q281" t="s">
        <v>66</v>
      </c>
      <c r="R281" t="s">
        <v>8</v>
      </c>
      <c r="S281" s="1" t="str">
        <f>MID(Table11[[#This Row],[Monthly plan / 月度计划]],1,2)</f>
        <v>VS</v>
      </c>
      <c r="T281" s="1" t="str">
        <f>MID(Table11[[#This Row],[Monthly plan / 月度计划]],4,4)</f>
        <v>0905</v>
      </c>
      <c r="U281" s="1" t="s">
        <v>18</v>
      </c>
      <c r="Y281" t="b">
        <v>0</v>
      </c>
    </row>
    <row r="282" spans="13:25" ht="14.4" customHeight="1" x14ac:dyDescent="0.3">
      <c r="M282" s="3">
        <v>46303</v>
      </c>
      <c r="N282">
        <v>10</v>
      </c>
      <c r="O282" s="2">
        <v>2</v>
      </c>
      <c r="Q282" t="s">
        <v>66</v>
      </c>
      <c r="R282" t="s">
        <v>8</v>
      </c>
      <c r="S282" s="1" t="str">
        <f>MID(Table11[[#This Row],[Monthly plan / 月度计划]],1,2)</f>
        <v>VS</v>
      </c>
      <c r="T282" s="1" t="str">
        <f>MID(Table11[[#This Row],[Monthly plan / 月度计划]],4,4)</f>
        <v>0905</v>
      </c>
      <c r="U282" s="1" t="s">
        <v>17</v>
      </c>
      <c r="Y282" t="b">
        <v>0</v>
      </c>
    </row>
    <row r="283" spans="13:25" ht="14.4" customHeight="1" x14ac:dyDescent="0.3">
      <c r="M283" s="3">
        <v>46304</v>
      </c>
      <c r="N283">
        <v>10</v>
      </c>
      <c r="O283" s="2">
        <v>2</v>
      </c>
      <c r="Q283" t="s">
        <v>66</v>
      </c>
      <c r="R283" t="s">
        <v>8</v>
      </c>
      <c r="S283" s="1" t="str">
        <f>MID(Table11[[#This Row],[Monthly plan / 月度计划]],1,2)</f>
        <v>VS</v>
      </c>
      <c r="T283" s="1" t="str">
        <f>MID(Table11[[#This Row],[Monthly plan / 月度计划]],4,4)</f>
        <v>0905</v>
      </c>
      <c r="U283" s="1" t="s">
        <v>16</v>
      </c>
      <c r="Y283" t="b">
        <v>0</v>
      </c>
    </row>
    <row r="284" spans="13:25" ht="14.4" customHeight="1" x14ac:dyDescent="0.3">
      <c r="M284" s="3">
        <v>46305</v>
      </c>
      <c r="N284">
        <v>10</v>
      </c>
      <c r="O284" s="2">
        <v>2</v>
      </c>
      <c r="Q284" t="s">
        <v>66</v>
      </c>
      <c r="R284" t="s">
        <v>8</v>
      </c>
      <c r="S284" s="1" t="str">
        <f>MID(Table11[[#This Row],[Monthly plan / 月度计划]],1,2)</f>
        <v>VS</v>
      </c>
      <c r="T284" s="1" t="str">
        <f>MID(Table11[[#This Row],[Monthly plan / 月度计划]],4,4)</f>
        <v>0905</v>
      </c>
      <c r="U284" s="1" t="s">
        <v>15</v>
      </c>
      <c r="Y284" t="b">
        <v>0</v>
      </c>
    </row>
    <row r="285" spans="13:25" ht="14.4" customHeight="1" x14ac:dyDescent="0.3">
      <c r="M285" s="3">
        <v>46306</v>
      </c>
      <c r="N285">
        <v>10</v>
      </c>
      <c r="O285" s="2">
        <v>3</v>
      </c>
      <c r="Q285" t="s">
        <v>66</v>
      </c>
      <c r="R285" t="s">
        <v>8</v>
      </c>
      <c r="S285" s="1" t="str">
        <f>MID(Table11[[#This Row],[Monthly plan / 月度计划]],1,2)</f>
        <v>VS</v>
      </c>
      <c r="T285" s="1" t="str">
        <f>MID(Table11[[#This Row],[Monthly plan / 月度计划]],4,4)</f>
        <v>0905</v>
      </c>
      <c r="U285" s="1" t="s">
        <v>14</v>
      </c>
      <c r="Y285" t="b">
        <v>0</v>
      </c>
    </row>
    <row r="286" spans="13:25" ht="14.4" customHeight="1" x14ac:dyDescent="0.3">
      <c r="M286" s="3">
        <v>46307</v>
      </c>
      <c r="N286">
        <v>10</v>
      </c>
      <c r="O286" s="2">
        <v>3</v>
      </c>
      <c r="Q286" t="s">
        <v>66</v>
      </c>
      <c r="R286" t="s">
        <v>8</v>
      </c>
      <c r="S286" s="1" t="str">
        <f>MID(Table11[[#This Row],[Monthly plan / 月度计划]],1,2)</f>
        <v>VS</v>
      </c>
      <c r="T286" s="1" t="str">
        <f>MID(Table11[[#This Row],[Monthly plan / 月度计划]],4,4)</f>
        <v>0906</v>
      </c>
      <c r="U286" s="1" t="s">
        <v>13</v>
      </c>
      <c r="Y286" t="b">
        <v>0</v>
      </c>
    </row>
    <row r="287" spans="13:25" ht="14.4" customHeight="1" x14ac:dyDescent="0.3">
      <c r="M287" s="3">
        <v>46308</v>
      </c>
      <c r="N287">
        <v>10</v>
      </c>
      <c r="O287" s="2">
        <v>3</v>
      </c>
      <c r="Q287" t="s">
        <v>66</v>
      </c>
      <c r="R287" t="s">
        <v>8</v>
      </c>
      <c r="S287" s="1" t="str">
        <f>MID(Table11[[#This Row],[Monthly plan / 月度计划]],1,2)</f>
        <v>VS</v>
      </c>
      <c r="T287" s="1" t="str">
        <f>MID(Table11[[#This Row],[Monthly plan / 月度计划]],4,4)</f>
        <v>0906</v>
      </c>
      <c r="U287" s="1" t="s">
        <v>12</v>
      </c>
      <c r="Y287" t="b">
        <v>0</v>
      </c>
    </row>
    <row r="288" spans="13:25" ht="14.4" customHeight="1" x14ac:dyDescent="0.3">
      <c r="M288" s="3">
        <v>46309</v>
      </c>
      <c r="N288">
        <v>10</v>
      </c>
      <c r="O288" s="2">
        <v>3</v>
      </c>
      <c r="Q288" t="s">
        <v>66</v>
      </c>
      <c r="R288" t="s">
        <v>8</v>
      </c>
      <c r="S288" s="1" t="str">
        <f>MID(Table11[[#This Row],[Monthly plan / 月度计划]],1,2)</f>
        <v>VS</v>
      </c>
      <c r="T288" s="1" t="str">
        <f>MID(Table11[[#This Row],[Monthly plan / 月度计划]],4,4)</f>
        <v>0906</v>
      </c>
      <c r="U288" s="1" t="s">
        <v>11</v>
      </c>
      <c r="Y288" t="b">
        <v>0</v>
      </c>
    </row>
    <row r="289" spans="13:25" ht="14.4" customHeight="1" x14ac:dyDescent="0.3">
      <c r="M289" s="3">
        <v>46310</v>
      </c>
      <c r="N289">
        <v>10</v>
      </c>
      <c r="O289" s="2">
        <v>3</v>
      </c>
      <c r="Q289" t="s">
        <v>66</v>
      </c>
      <c r="R289" t="s">
        <v>8</v>
      </c>
      <c r="S289" s="1" t="str">
        <f>MID(Table11[[#This Row],[Monthly plan / 月度计划]],1,2)</f>
        <v>VS</v>
      </c>
      <c r="T289" s="1" t="str">
        <f>MID(Table11[[#This Row],[Monthly plan / 月度计划]],4,4)</f>
        <v>0906</v>
      </c>
      <c r="U289" s="1" t="s">
        <v>10</v>
      </c>
      <c r="Y289" t="b">
        <v>0</v>
      </c>
    </row>
    <row r="290" spans="13:25" ht="14.4" customHeight="1" x14ac:dyDescent="0.3">
      <c r="M290" s="3">
        <v>46311</v>
      </c>
      <c r="N290">
        <v>10</v>
      </c>
      <c r="O290" s="2">
        <v>3</v>
      </c>
      <c r="Q290" t="s">
        <v>66</v>
      </c>
      <c r="R290" t="s">
        <v>8</v>
      </c>
      <c r="S290" s="1" t="str">
        <f>MID(Table11[[#This Row],[Monthly plan / 月度计划]],1,2)</f>
        <v>YR</v>
      </c>
      <c r="T290" s="1" t="str">
        <f>MID(Table11[[#This Row],[Monthly plan / 月度计划]],4,4)</f>
        <v>1016</v>
      </c>
      <c r="U290" s="1" t="s">
        <v>2</v>
      </c>
      <c r="Y290" t="b">
        <v>0</v>
      </c>
    </row>
    <row r="291" spans="13:25" ht="14.4" customHeight="1" x14ac:dyDescent="0.3">
      <c r="M291" s="3">
        <v>46312</v>
      </c>
      <c r="N291">
        <v>10</v>
      </c>
      <c r="O291" s="2">
        <v>3</v>
      </c>
      <c r="Q291" t="s">
        <v>9</v>
      </c>
      <c r="R291" t="s">
        <v>8</v>
      </c>
      <c r="S291" s="1" t="str">
        <f>MID(Table11[[#This Row],[Monthly plan / 月度计划]],1,2)</f>
        <v>VS</v>
      </c>
      <c r="T291" s="1" t="str">
        <f>MID(Table11[[#This Row],[Monthly plan / 月度计划]],4,4)</f>
        <v>1015</v>
      </c>
      <c r="U291" s="1" t="s">
        <v>7</v>
      </c>
      <c r="V291" t="s">
        <v>252</v>
      </c>
      <c r="W291">
        <v>30</v>
      </c>
      <c r="X291" s="1" t="s">
        <v>272</v>
      </c>
      <c r="Y291" t="b">
        <v>0</v>
      </c>
    </row>
    <row r="292" spans="13:25" ht="14.4" customHeight="1" x14ac:dyDescent="0.3">
      <c r="M292" s="3">
        <v>46313</v>
      </c>
      <c r="N292">
        <v>10</v>
      </c>
      <c r="O292" s="2">
        <v>4</v>
      </c>
      <c r="Q292" t="s">
        <v>9</v>
      </c>
      <c r="R292" t="s">
        <v>8</v>
      </c>
      <c r="S292" s="1" t="str">
        <f>MID(Table11[[#This Row],[Monthly plan / 月度计划]],1,2)</f>
        <v>VS</v>
      </c>
      <c r="T292" s="1" t="str">
        <f>MID(Table11[[#This Row],[Monthly plan / 月度计划]],4,4)</f>
        <v>1000</v>
      </c>
      <c r="U292" s="1" t="s">
        <v>6</v>
      </c>
      <c r="V292" t="s">
        <v>252</v>
      </c>
      <c r="W292">
        <v>70</v>
      </c>
      <c r="X292" s="1" t="s">
        <v>272</v>
      </c>
      <c r="Y292" t="b">
        <v>0</v>
      </c>
    </row>
    <row r="293" spans="13:25" ht="14.4" customHeight="1" x14ac:dyDescent="0.3">
      <c r="M293" s="3">
        <v>46314</v>
      </c>
      <c r="N293">
        <v>10</v>
      </c>
      <c r="O293" s="2">
        <v>4</v>
      </c>
      <c r="Q293" t="s">
        <v>9</v>
      </c>
      <c r="R293" t="s">
        <v>8</v>
      </c>
      <c r="S293" s="1" t="str">
        <f>MID(Table11[[#This Row],[Monthly plan / 月度计划]],1,2)</f>
        <v>VS</v>
      </c>
      <c r="T293" s="1" t="str">
        <f>MID(Table11[[#This Row],[Monthly plan / 月度计划]],4,4)</f>
        <v>0966</v>
      </c>
      <c r="U293" s="1" t="s">
        <v>94</v>
      </c>
      <c r="V293" t="s">
        <v>252</v>
      </c>
      <c r="W293">
        <v>30</v>
      </c>
      <c r="X293" s="1" t="s">
        <v>272</v>
      </c>
      <c r="Y293" t="b">
        <v>0</v>
      </c>
    </row>
    <row r="294" spans="13:25" ht="14.4" customHeight="1" x14ac:dyDescent="0.3">
      <c r="M294" s="3">
        <v>46315</v>
      </c>
      <c r="N294">
        <v>10</v>
      </c>
      <c r="O294" s="2">
        <v>4</v>
      </c>
      <c r="Q294" t="s">
        <v>9</v>
      </c>
      <c r="R294" t="s">
        <v>8</v>
      </c>
      <c r="S294" s="1" t="str">
        <f>MID(Table11[[#This Row],[Monthly plan / 月度计划]],1,2)</f>
        <v>VS</v>
      </c>
      <c r="T294" s="1" t="str">
        <f>MID(Table11[[#This Row],[Monthly plan / 月度计划]],4,4)</f>
        <v>0886</v>
      </c>
      <c r="U294" s="1" t="s">
        <v>54</v>
      </c>
      <c r="V294" t="s">
        <v>252</v>
      </c>
      <c r="W294">
        <v>30</v>
      </c>
      <c r="X294" s="1" t="s">
        <v>272</v>
      </c>
      <c r="Y294" t="b">
        <v>0</v>
      </c>
    </row>
    <row r="295" spans="13:25" ht="14.4" customHeight="1" x14ac:dyDescent="0.3">
      <c r="M295" s="3">
        <v>46316</v>
      </c>
      <c r="N295">
        <v>10</v>
      </c>
      <c r="O295" s="2">
        <v>4</v>
      </c>
      <c r="Q295" t="s">
        <v>9</v>
      </c>
      <c r="R295" t="s">
        <v>8</v>
      </c>
      <c r="S295" s="1" t="str">
        <f>MID(Table11[[#This Row],[Monthly plan / 月度计划]],1,2)</f>
        <v>VS</v>
      </c>
      <c r="T295" s="1" t="str">
        <f>MID(Table11[[#This Row],[Monthly plan / 月度计划]],4,4)</f>
        <v>0886</v>
      </c>
      <c r="U295" s="1" t="s">
        <v>62</v>
      </c>
      <c r="V295" t="s">
        <v>252</v>
      </c>
      <c r="W295">
        <v>70</v>
      </c>
      <c r="X295" s="1" t="s">
        <v>272</v>
      </c>
      <c r="Y295" t="b">
        <v>0</v>
      </c>
    </row>
    <row r="296" spans="13:25" ht="14.4" customHeight="1" x14ac:dyDescent="0.3">
      <c r="M296" s="3">
        <v>46317</v>
      </c>
      <c r="N296">
        <v>10</v>
      </c>
      <c r="O296" s="2">
        <v>4</v>
      </c>
      <c r="Q296" t="s">
        <v>9</v>
      </c>
      <c r="R296" t="s">
        <v>8</v>
      </c>
      <c r="S296" s="1" t="str">
        <f>MID(Table11[[#This Row],[Monthly plan / 月度计划]],1,2)</f>
        <v>VS</v>
      </c>
      <c r="T296" s="1" t="str">
        <f>MID(Table11[[#This Row],[Monthly plan / 月度计划]],4,4)</f>
        <v>0866</v>
      </c>
      <c r="U296" s="1" t="s">
        <v>45</v>
      </c>
      <c r="V296" t="s">
        <v>252</v>
      </c>
      <c r="W296">
        <v>70</v>
      </c>
      <c r="X296" s="1" t="s">
        <v>272</v>
      </c>
      <c r="Y296" t="b">
        <v>0</v>
      </c>
    </row>
    <row r="297" spans="13:25" ht="14.4" customHeight="1" x14ac:dyDescent="0.3">
      <c r="M297" s="3">
        <v>46318</v>
      </c>
      <c r="N297">
        <v>10</v>
      </c>
      <c r="O297" s="2">
        <v>4</v>
      </c>
      <c r="Q297" t="s">
        <v>9</v>
      </c>
      <c r="R297" t="s">
        <v>8</v>
      </c>
      <c r="S297" s="1" t="str">
        <f>MID(Table11[[#This Row],[Monthly plan / 月度计划]],1,2)</f>
        <v>VS</v>
      </c>
      <c r="T297" s="1" t="str">
        <f>MID(Table11[[#This Row],[Monthly plan / 月度计划]],4,4)</f>
        <v>0866</v>
      </c>
      <c r="U297" s="1" t="s">
        <v>53</v>
      </c>
      <c r="V297" t="s">
        <v>252</v>
      </c>
      <c r="W297">
        <v>70</v>
      </c>
      <c r="X297" s="1" t="s">
        <v>272</v>
      </c>
      <c r="Y297" t="b">
        <v>0</v>
      </c>
    </row>
    <row r="298" spans="13:25" ht="14.4" customHeight="1" x14ac:dyDescent="0.3">
      <c r="M298" s="3">
        <v>46319</v>
      </c>
      <c r="N298">
        <v>10</v>
      </c>
      <c r="O298" s="2">
        <v>4</v>
      </c>
      <c r="Q298" t="s">
        <v>9</v>
      </c>
      <c r="R298" t="s">
        <v>8</v>
      </c>
      <c r="S298" s="1" t="str">
        <f>MID(Table11[[#This Row],[Monthly plan / 月度计划]],1,2)</f>
        <v>VS</v>
      </c>
      <c r="T298" s="1" t="str">
        <f>MID(Table11[[#This Row],[Monthly plan / 月度计划]],4,4)</f>
        <v>0986</v>
      </c>
      <c r="U298" s="1" t="s">
        <v>50</v>
      </c>
      <c r="V298" t="s">
        <v>252</v>
      </c>
      <c r="W298">
        <v>30</v>
      </c>
      <c r="X298" s="1" t="s">
        <v>272</v>
      </c>
      <c r="Y298" t="b">
        <v>0</v>
      </c>
    </row>
    <row r="299" spans="13:25" ht="14.4" customHeight="1" x14ac:dyDescent="0.3">
      <c r="M299" s="3">
        <v>46320</v>
      </c>
      <c r="N299">
        <v>10</v>
      </c>
      <c r="O299" s="2">
        <v>4</v>
      </c>
      <c r="Q299" t="s">
        <v>9</v>
      </c>
      <c r="R299" t="s">
        <v>8</v>
      </c>
      <c r="S299" s="1" t="str">
        <f>MID(Table11[[#This Row],[Monthly plan / 月度计划]],1,2)</f>
        <v>VS</v>
      </c>
      <c r="T299" s="1" t="str">
        <f>MID(Table11[[#This Row],[Monthly plan / 月度计划]],4,4)</f>
        <v>1015</v>
      </c>
      <c r="U299" s="1" t="s">
        <v>5</v>
      </c>
      <c r="V299" t="s">
        <v>252</v>
      </c>
      <c r="W299">
        <v>20</v>
      </c>
      <c r="X299" s="1" t="s">
        <v>272</v>
      </c>
      <c r="Y299" t="b">
        <v>0</v>
      </c>
    </row>
    <row r="300" spans="13:25" ht="14.4" customHeight="1" x14ac:dyDescent="0.3">
      <c r="M300" s="3">
        <v>46321</v>
      </c>
      <c r="N300">
        <v>10</v>
      </c>
      <c r="O300" s="2">
        <v>1</v>
      </c>
      <c r="Q300" t="s">
        <v>9</v>
      </c>
      <c r="R300" t="s">
        <v>8</v>
      </c>
      <c r="S300" s="1" t="str">
        <f>MID(Table11[[#This Row],[Monthly plan / 月度计划]],1,2)</f>
        <v>VS</v>
      </c>
      <c r="T300" s="1" t="str">
        <f>MID(Table11[[#This Row],[Monthly plan / 月度计划]],4,4)</f>
        <v>0986</v>
      </c>
      <c r="U300" s="1" t="s">
        <v>51</v>
      </c>
      <c r="V300" t="s">
        <v>252</v>
      </c>
      <c r="W300">
        <v>15</v>
      </c>
      <c r="X300" s="1" t="s">
        <v>272</v>
      </c>
      <c r="Y300" t="b">
        <v>0</v>
      </c>
    </row>
    <row r="301" spans="13:25" ht="14.4" customHeight="1" x14ac:dyDescent="0.3">
      <c r="M301" s="3">
        <v>46322</v>
      </c>
      <c r="N301">
        <v>10</v>
      </c>
      <c r="O301" s="2">
        <v>1</v>
      </c>
      <c r="Q301" t="s">
        <v>9</v>
      </c>
      <c r="R301" t="s">
        <v>8</v>
      </c>
      <c r="S301" s="1" t="str">
        <f>MID(Table11[[#This Row],[Monthly plan / 月度计划]],1,2)</f>
        <v>VS</v>
      </c>
      <c r="T301" s="1" t="str">
        <f>MID(Table11[[#This Row],[Monthly plan / 月度计划]],4,4)</f>
        <v>0966</v>
      </c>
      <c r="U301" s="1" t="s">
        <v>49</v>
      </c>
      <c r="V301" t="s">
        <v>252</v>
      </c>
      <c r="W301">
        <v>20</v>
      </c>
      <c r="X301" s="1" t="s">
        <v>272</v>
      </c>
      <c r="Y301" t="b">
        <v>0</v>
      </c>
    </row>
    <row r="302" spans="13:25" x14ac:dyDescent="0.3">
      <c r="M302" s="3">
        <v>46323</v>
      </c>
      <c r="N302">
        <v>10</v>
      </c>
      <c r="O302" s="2">
        <v>1</v>
      </c>
      <c r="Q302" t="s">
        <v>9</v>
      </c>
      <c r="R302" t="s">
        <v>8</v>
      </c>
      <c r="S302" s="1" t="str">
        <f>MID(Table11[[#This Row],[Monthly plan / 月度计划]],1,2)</f>
        <v>VS</v>
      </c>
      <c r="T302" s="1" t="str">
        <f>MID(Table11[[#This Row],[Monthly plan / 月度计划]],4,4)</f>
        <v>0926</v>
      </c>
      <c r="U302" s="1" t="s">
        <v>47</v>
      </c>
      <c r="V302" t="s">
        <v>252</v>
      </c>
      <c r="W302">
        <v>50</v>
      </c>
      <c r="X302" s="1" t="s">
        <v>272</v>
      </c>
      <c r="Y302" t="b">
        <v>0</v>
      </c>
    </row>
    <row r="303" spans="13:25" x14ac:dyDescent="0.3">
      <c r="M303" s="3">
        <v>46324</v>
      </c>
      <c r="N303">
        <v>10</v>
      </c>
      <c r="O303" s="2">
        <v>1</v>
      </c>
      <c r="Q303" t="s">
        <v>9</v>
      </c>
      <c r="R303" t="s">
        <v>8</v>
      </c>
      <c r="S303" s="1" t="str">
        <f>MID(Table11[[#This Row],[Monthly plan / 月度计划]],1,2)</f>
        <v>VS</v>
      </c>
      <c r="T303" s="1" t="str">
        <f>MID(Table11[[#This Row],[Monthly plan / 月度计划]],4,4)</f>
        <v>0906</v>
      </c>
      <c r="U303" s="1" t="s">
        <v>46</v>
      </c>
      <c r="V303" t="s">
        <v>252</v>
      </c>
      <c r="W303">
        <v>20</v>
      </c>
      <c r="X303" s="1" t="s">
        <v>272</v>
      </c>
      <c r="Y303" t="b">
        <v>0</v>
      </c>
    </row>
    <row r="304" spans="13:25" x14ac:dyDescent="0.3">
      <c r="M304" s="3">
        <v>46325</v>
      </c>
      <c r="N304">
        <v>10</v>
      </c>
      <c r="O304" s="2">
        <v>1</v>
      </c>
      <c r="Q304" t="s">
        <v>9</v>
      </c>
      <c r="R304" t="s">
        <v>8</v>
      </c>
      <c r="S304" s="1" t="str">
        <f>MID(Table11[[#This Row],[Monthly plan / 月度计划]],1,2)</f>
        <v>VS</v>
      </c>
      <c r="T304" s="1" t="str">
        <f>MID(Table11[[#This Row],[Monthly plan / 月度计划]],4,4)</f>
        <v>0906</v>
      </c>
      <c r="U304" s="1" t="s">
        <v>203</v>
      </c>
      <c r="V304" t="s">
        <v>252</v>
      </c>
      <c r="W304">
        <v>20</v>
      </c>
      <c r="X304" s="1" t="s">
        <v>272</v>
      </c>
      <c r="Y304" t="b">
        <v>0</v>
      </c>
    </row>
    <row r="305" spans="13:28" x14ac:dyDescent="0.3">
      <c r="M305" s="3">
        <v>46326</v>
      </c>
      <c r="N305">
        <v>10</v>
      </c>
      <c r="O305" s="2">
        <v>1</v>
      </c>
      <c r="Q305" t="s">
        <v>9</v>
      </c>
      <c r="R305" t="s">
        <v>8</v>
      </c>
      <c r="S305" s="1" t="str">
        <f>MID(Table11[[#This Row],[Monthly plan / 月度计划]],1,2)</f>
        <v>YR</v>
      </c>
      <c r="T305" s="1" t="str">
        <f>MID(Table11[[#This Row],[Monthly plan / 月度计划]],4,4)</f>
        <v>0926</v>
      </c>
      <c r="U305" s="1" t="s">
        <v>44</v>
      </c>
      <c r="V305" t="s">
        <v>252</v>
      </c>
      <c r="W305">
        <v>40</v>
      </c>
      <c r="X305" s="1" t="s">
        <v>272</v>
      </c>
      <c r="Y305" t="b">
        <v>0</v>
      </c>
    </row>
    <row r="306" spans="13:28" x14ac:dyDescent="0.3">
      <c r="Q306" t="s">
        <v>9</v>
      </c>
      <c r="R306" t="s">
        <v>8</v>
      </c>
      <c r="S306" s="1" t="str">
        <f>MID(Table11[[#This Row],[Monthly plan / 月度计划]],1,2)</f>
        <v>VS</v>
      </c>
      <c r="T306" s="1" t="str">
        <f>MID(Table11[[#This Row],[Monthly plan / 月度计划]],4,4)</f>
        <v>1015</v>
      </c>
      <c r="U306" s="1" t="s">
        <v>4</v>
      </c>
      <c r="V306" t="s">
        <v>253</v>
      </c>
      <c r="W306">
        <v>16</v>
      </c>
      <c r="X306" s="1" t="s">
        <v>294</v>
      </c>
      <c r="Y306" t="b">
        <v>0</v>
      </c>
    </row>
    <row r="307" spans="13:28" x14ac:dyDescent="0.3">
      <c r="Q307" t="s">
        <v>9</v>
      </c>
      <c r="R307" t="s">
        <v>8</v>
      </c>
      <c r="S307" s="1" t="str">
        <f>MID(Table11[[#This Row],[Monthly plan / 月度计划]],1,2)</f>
        <v>VS</v>
      </c>
      <c r="T307" s="1" t="str">
        <f>MID(Table11[[#This Row],[Monthly plan / 月度计划]],4,4)</f>
        <v>0946</v>
      </c>
      <c r="U307" s="1" t="s">
        <v>65</v>
      </c>
      <c r="V307" t="s">
        <v>253</v>
      </c>
      <c r="W307">
        <v>60</v>
      </c>
      <c r="X307" s="1" t="s">
        <v>295</v>
      </c>
      <c r="Y307" t="b">
        <v>0</v>
      </c>
    </row>
    <row r="308" spans="13:28" x14ac:dyDescent="0.3">
      <c r="Q308" t="s">
        <v>9</v>
      </c>
      <c r="R308" t="s">
        <v>8</v>
      </c>
      <c r="S308" s="1" t="str">
        <f>MID(Table11[[#This Row],[Monthly plan / 月度计划]],1,2)</f>
        <v>VS</v>
      </c>
      <c r="T308" s="1" t="str">
        <f>MID(Table11[[#This Row],[Monthly plan / 月度计划]],4,4)</f>
        <v>0946</v>
      </c>
      <c r="U308" s="1" t="s">
        <v>64</v>
      </c>
      <c r="V308" t="s">
        <v>253</v>
      </c>
      <c r="W308">
        <v>20</v>
      </c>
      <c r="X308" s="1" t="s">
        <v>295</v>
      </c>
      <c r="Y308" t="b">
        <v>0</v>
      </c>
      <c r="AB308" s="9"/>
    </row>
    <row r="309" spans="13:28" x14ac:dyDescent="0.3">
      <c r="Q309" t="s">
        <v>9</v>
      </c>
      <c r="R309" t="s">
        <v>8</v>
      </c>
      <c r="S309" s="1" t="str">
        <f>MID(Table11[[#This Row],[Monthly plan / 月度计划]],1,2)</f>
        <v>VS</v>
      </c>
      <c r="T309" s="1" t="str">
        <f>MID(Table11[[#This Row],[Monthly plan / 月度计划]],4,4)</f>
        <v>0906</v>
      </c>
      <c r="U309" s="1" t="s">
        <v>63</v>
      </c>
      <c r="V309" t="s">
        <v>253</v>
      </c>
      <c r="W309">
        <v>30</v>
      </c>
      <c r="X309" s="1" t="s">
        <v>295</v>
      </c>
      <c r="Y309" t="b">
        <v>0</v>
      </c>
      <c r="AB309" s="9"/>
    </row>
    <row r="310" spans="13:28" x14ac:dyDescent="0.3">
      <c r="Q310" t="s">
        <v>9</v>
      </c>
      <c r="R310" t="s">
        <v>8</v>
      </c>
      <c r="S310" s="1" t="str">
        <f>MID(Table11[[#This Row],[Monthly plan / 月度计划]],1,2)</f>
        <v>VS</v>
      </c>
      <c r="T310" s="1" t="str">
        <f>MID(Table11[[#This Row],[Monthly plan / 月度计划]],4,4)</f>
        <v>0886</v>
      </c>
      <c r="U310" s="1" t="s">
        <v>61</v>
      </c>
      <c r="V310" t="s">
        <v>254</v>
      </c>
      <c r="W310">
        <v>30</v>
      </c>
      <c r="X310" s="1" t="s">
        <v>276</v>
      </c>
      <c r="Y310" t="b">
        <v>0</v>
      </c>
      <c r="AB310" s="9"/>
    </row>
    <row r="311" spans="13:28" x14ac:dyDescent="0.3">
      <c r="Q311" t="s">
        <v>9</v>
      </c>
      <c r="R311" t="s">
        <v>8</v>
      </c>
      <c r="S311" s="1" t="str">
        <f>MID(Table11[[#This Row],[Monthly plan / 月度计划]],1,2)</f>
        <v>VS</v>
      </c>
      <c r="T311" s="1" t="str">
        <f>MID(Table11[[#This Row],[Monthly plan / 月度计划]],4,4)</f>
        <v>0866</v>
      </c>
      <c r="U311" s="1" t="s">
        <v>59</v>
      </c>
      <c r="V311" t="s">
        <v>253</v>
      </c>
      <c r="W311">
        <v>20</v>
      </c>
      <c r="X311" s="1" t="s">
        <v>295</v>
      </c>
      <c r="Y311" t="b">
        <v>0</v>
      </c>
      <c r="AB311" s="9"/>
    </row>
    <row r="312" spans="13:28" x14ac:dyDescent="0.3">
      <c r="Q312" t="s">
        <v>9</v>
      </c>
      <c r="R312" t="s">
        <v>8</v>
      </c>
      <c r="S312" s="1" t="str">
        <f>MID(Table11[[#This Row],[Monthly plan / 月度计划]],1,2)</f>
        <v>VS</v>
      </c>
      <c r="T312" s="1" t="str">
        <f>MID(Table11[[#This Row],[Monthly plan / 月度计划]],4,4)</f>
        <v>0866</v>
      </c>
      <c r="U312" s="1" t="s">
        <v>204</v>
      </c>
      <c r="V312" t="s">
        <v>254</v>
      </c>
      <c r="W312">
        <v>7</v>
      </c>
      <c r="X312" s="1" t="s">
        <v>273</v>
      </c>
      <c r="Y312" t="b">
        <v>0</v>
      </c>
      <c r="AB312" s="9"/>
    </row>
    <row r="313" spans="13:28" x14ac:dyDescent="0.3">
      <c r="Q313" t="s">
        <v>9</v>
      </c>
      <c r="R313" t="s">
        <v>8</v>
      </c>
      <c r="S313" s="1" t="str">
        <f>MID(Table11[[#This Row],[Monthly plan / 月度计划]],1,2)</f>
        <v>VS</v>
      </c>
      <c r="T313" s="1" t="str">
        <f>MID(Table11[[#This Row],[Monthly plan / 月度计划]],4,4)</f>
        <v>0856</v>
      </c>
      <c r="U313" s="1" t="s">
        <v>58</v>
      </c>
      <c r="V313" t="s">
        <v>254</v>
      </c>
      <c r="W313">
        <v>30</v>
      </c>
      <c r="X313" s="1" t="s">
        <v>296</v>
      </c>
      <c r="Y313" t="b">
        <v>0</v>
      </c>
      <c r="AB313" s="9"/>
    </row>
    <row r="314" spans="13:28" x14ac:dyDescent="0.3">
      <c r="Q314" t="s">
        <v>9</v>
      </c>
      <c r="R314" t="s">
        <v>8</v>
      </c>
      <c r="S314" s="1" t="str">
        <f>MID(Table11[[#This Row],[Monthly plan / 月度计划]],1,2)</f>
        <v>VS</v>
      </c>
      <c r="T314" s="1" t="str">
        <f>MID(Table11[[#This Row],[Monthly plan / 月度计划]],4,4)</f>
        <v>0846</v>
      </c>
      <c r="U314" s="1" t="s">
        <v>57</v>
      </c>
      <c r="V314" t="s">
        <v>253</v>
      </c>
      <c r="W314">
        <v>30</v>
      </c>
      <c r="X314" s="1" t="s">
        <v>295</v>
      </c>
      <c r="Y314" t="b">
        <v>0</v>
      </c>
      <c r="AB314" s="9"/>
    </row>
    <row r="315" spans="13:28" x14ac:dyDescent="0.3">
      <c r="Q315" t="s">
        <v>9</v>
      </c>
      <c r="R315" t="s">
        <v>8</v>
      </c>
      <c r="S315" s="1" t="str">
        <f>MID(Table11[[#This Row],[Monthly plan / 月度计划]],1,2)</f>
        <v>VS</v>
      </c>
      <c r="T315" s="1" t="str">
        <f>MID(Table11[[#This Row],[Monthly plan / 月度计划]],4,4)</f>
        <v>0846</v>
      </c>
      <c r="U315" s="1" t="s">
        <v>205</v>
      </c>
      <c r="V315" t="s">
        <v>256</v>
      </c>
      <c r="W315">
        <v>18</v>
      </c>
      <c r="X315" s="1" t="s">
        <v>297</v>
      </c>
      <c r="Y315" t="b">
        <v>0</v>
      </c>
      <c r="AB315" s="9"/>
    </row>
    <row r="316" spans="13:28" x14ac:dyDescent="0.3">
      <c r="Q316" t="s">
        <v>9</v>
      </c>
      <c r="R316" t="s">
        <v>8</v>
      </c>
      <c r="S316" s="1" t="str">
        <f>MID(Table11[[#This Row],[Monthly plan / 月度计划]],1,2)</f>
        <v>VS</v>
      </c>
      <c r="T316" s="1" t="str">
        <f>MID(Table11[[#This Row],[Monthly plan / 月度计划]],4,4)</f>
        <v>0836</v>
      </c>
      <c r="U316" s="1" t="s">
        <v>206</v>
      </c>
      <c r="V316" t="s">
        <v>253</v>
      </c>
      <c r="W316">
        <v>10</v>
      </c>
      <c r="X316" s="1" t="s">
        <v>298</v>
      </c>
      <c r="Y316" t="b">
        <v>0</v>
      </c>
      <c r="AB316" s="9"/>
    </row>
    <row r="317" spans="13:28" x14ac:dyDescent="0.3">
      <c r="Q317" t="s">
        <v>9</v>
      </c>
      <c r="R317" t="s">
        <v>8</v>
      </c>
      <c r="S317" s="1" t="str">
        <f>MID(Table11[[#This Row],[Monthly plan / 月度计划]],1,2)</f>
        <v>VS</v>
      </c>
      <c r="T317" s="1" t="str">
        <f>MID(Table11[[#This Row],[Monthly plan / 月度计划]],4,4)</f>
        <v>0826</v>
      </c>
      <c r="U317" s="1" t="s">
        <v>55</v>
      </c>
      <c r="V317" t="s">
        <v>254</v>
      </c>
      <c r="W317">
        <v>50</v>
      </c>
      <c r="X317" s="1" t="s">
        <v>280</v>
      </c>
      <c r="Y317" t="b">
        <v>0</v>
      </c>
      <c r="AB317" s="9"/>
    </row>
    <row r="318" spans="13:28" x14ac:dyDescent="0.3">
      <c r="Q318" t="s">
        <v>9</v>
      </c>
      <c r="R318" t="s">
        <v>8</v>
      </c>
      <c r="S318" s="1" t="str">
        <f>MID(Table11[[#This Row],[Monthly plan / 月度计划]],1,2)</f>
        <v>VS</v>
      </c>
      <c r="T318" s="1" t="str">
        <f>MID(Table11[[#This Row],[Monthly plan / 月度计划]],4,4)</f>
        <v>0866</v>
      </c>
      <c r="U318" s="1" t="s">
        <v>207</v>
      </c>
      <c r="V318" t="s">
        <v>254</v>
      </c>
      <c r="W318">
        <v>15</v>
      </c>
      <c r="X318" s="1" t="s">
        <v>289</v>
      </c>
      <c r="Y318" t="b">
        <v>0</v>
      </c>
      <c r="AB318" s="9"/>
    </row>
    <row r="319" spans="13:28" x14ac:dyDescent="0.3">
      <c r="Q319" t="s">
        <v>9</v>
      </c>
      <c r="R319" t="s">
        <v>8</v>
      </c>
      <c r="S319" s="1" t="str">
        <f>MID(Table11[[#This Row],[Monthly plan / 月度计划]],1,2)</f>
        <v>VS</v>
      </c>
      <c r="T319" s="1" t="str">
        <f>MID(Table11[[#This Row],[Monthly plan / 月度计划]],4,4)</f>
        <v>0855</v>
      </c>
      <c r="U319" s="1" t="s">
        <v>208</v>
      </c>
      <c r="V319" t="s">
        <v>254</v>
      </c>
      <c r="W319">
        <v>10</v>
      </c>
      <c r="X319" s="1" t="s">
        <v>299</v>
      </c>
      <c r="Y319" t="b">
        <v>0</v>
      </c>
      <c r="AB319" s="9"/>
    </row>
    <row r="320" spans="13:28" x14ac:dyDescent="0.3">
      <c r="Q320" t="s">
        <v>9</v>
      </c>
      <c r="R320" t="s">
        <v>8</v>
      </c>
      <c r="S320" s="1" t="str">
        <f>MID(Table11[[#This Row],[Monthly plan / 月度计划]],1,2)</f>
        <v>VS</v>
      </c>
      <c r="T320" s="1" t="str">
        <f>MID(Table11[[#This Row],[Monthly plan / 月度计划]],4,4)</f>
        <v>0846</v>
      </c>
      <c r="U320" s="1" t="s">
        <v>56</v>
      </c>
      <c r="V320" t="s">
        <v>253</v>
      </c>
      <c r="W320">
        <v>20</v>
      </c>
      <c r="X320" s="1" t="s">
        <v>295</v>
      </c>
      <c r="Y320" t="b">
        <v>0</v>
      </c>
      <c r="AB320" s="9"/>
    </row>
    <row r="321" spans="17:28" x14ac:dyDescent="0.3">
      <c r="Q321" t="s">
        <v>9</v>
      </c>
      <c r="R321" t="s">
        <v>8</v>
      </c>
      <c r="S321" s="1" t="str">
        <f>MID(Table11[[#This Row],[Monthly plan / 月度计划]],1,2)</f>
        <v>YR</v>
      </c>
      <c r="T321" s="1" t="str">
        <f>MID(Table11[[#This Row],[Monthly plan / 月度计划]],4,4)</f>
        <v>0886</v>
      </c>
      <c r="U321" s="1" t="s">
        <v>209</v>
      </c>
      <c r="V321" t="s">
        <v>253</v>
      </c>
      <c r="W321">
        <v>30</v>
      </c>
      <c r="X321" s="1" t="s">
        <v>300</v>
      </c>
      <c r="Y321" t="b">
        <v>0</v>
      </c>
      <c r="AB321" s="9"/>
    </row>
    <row r="322" spans="17:28" x14ac:dyDescent="0.3">
      <c r="Q322" t="s">
        <v>9</v>
      </c>
      <c r="R322" t="s">
        <v>3</v>
      </c>
      <c r="S322" s="1" t="str">
        <f>MID(Table11[[#This Row],[Monthly plan / 月度计划]],1,2)</f>
        <v>YR</v>
      </c>
      <c r="T322" s="1" t="str">
        <f>MID(Table11[[#This Row],[Monthly plan / 月度计划]],4,4)</f>
        <v>1016</v>
      </c>
      <c r="U322" s="1" t="s">
        <v>2</v>
      </c>
      <c r="V322" t="s">
        <v>252</v>
      </c>
      <c r="W322">
        <v>40</v>
      </c>
      <c r="X322" s="1" t="s">
        <v>272</v>
      </c>
      <c r="Y322" t="b">
        <v>0</v>
      </c>
      <c r="AB322" s="9"/>
    </row>
    <row r="323" spans="17:28" x14ac:dyDescent="0.3">
      <c r="Q323" t="s">
        <v>9</v>
      </c>
      <c r="R323" t="s">
        <v>3</v>
      </c>
      <c r="S323" s="1" t="str">
        <f>MID(Table11[[#This Row],[Monthly plan / 月度计划]],1,2)</f>
        <v>YR</v>
      </c>
      <c r="T323" s="1" t="str">
        <f>MID(Table11[[#This Row],[Monthly plan / 月度计划]],4,4)</f>
        <v>1001</v>
      </c>
      <c r="U323" s="1" t="s">
        <v>1</v>
      </c>
      <c r="V323" t="s">
        <v>252</v>
      </c>
      <c r="W323">
        <v>30</v>
      </c>
      <c r="X323" s="1" t="s">
        <v>272</v>
      </c>
      <c r="Y323" t="b">
        <v>0</v>
      </c>
      <c r="AB323" s="15"/>
    </row>
    <row r="324" spans="17:28" x14ac:dyDescent="0.3">
      <c r="Q324" t="s">
        <v>9</v>
      </c>
      <c r="R324" t="s">
        <v>3</v>
      </c>
      <c r="S324" s="1" t="str">
        <f>MID(Table11[[#This Row],[Monthly plan / 月度计划]],1,2)</f>
        <v>YR</v>
      </c>
      <c r="T324" s="1" t="str">
        <f>MID(Table11[[#This Row],[Monthly plan / 月度计划]],4,4)</f>
        <v>0906</v>
      </c>
      <c r="U324" s="1" t="s">
        <v>210</v>
      </c>
      <c r="V324" t="s">
        <v>252</v>
      </c>
      <c r="W324">
        <v>15</v>
      </c>
      <c r="X324" s="1" t="s">
        <v>272</v>
      </c>
      <c r="Y324" t="b">
        <v>0</v>
      </c>
      <c r="AB324" s="15"/>
    </row>
    <row r="325" spans="17:28" x14ac:dyDescent="0.3">
      <c r="Q325" t="s">
        <v>9</v>
      </c>
      <c r="R325" t="s">
        <v>3</v>
      </c>
      <c r="S325" s="1" t="str">
        <f>MID(Table11[[#This Row],[Monthly plan / 月度计划]],1,2)</f>
        <v>YR</v>
      </c>
      <c r="T325" s="1" t="str">
        <f>MID(Table11[[#This Row],[Monthly plan / 月度计划]],4,4)</f>
        <v>1016</v>
      </c>
      <c r="U325" s="1" t="s">
        <v>0</v>
      </c>
      <c r="V325" t="s">
        <v>252</v>
      </c>
      <c r="W325">
        <v>40</v>
      </c>
      <c r="X325" s="1" t="s">
        <v>272</v>
      </c>
      <c r="Y325" t="b">
        <v>0</v>
      </c>
      <c r="AB325" s="15"/>
    </row>
    <row r="326" spans="17:28" x14ac:dyDescent="0.3">
      <c r="Q326" t="s">
        <v>9</v>
      </c>
      <c r="R326" t="s">
        <v>3</v>
      </c>
      <c r="S326" s="1" t="str">
        <f>MID(Table11[[#This Row],[Monthly plan / 月度计划]],1,2)</f>
        <v>YR</v>
      </c>
      <c r="T326" s="1" t="str">
        <f>MID(Table11[[#This Row],[Monthly plan / 月度计划]],4,4)</f>
        <v>0986</v>
      </c>
      <c r="U326" s="1" t="s">
        <v>36</v>
      </c>
      <c r="V326" t="s">
        <v>252</v>
      </c>
      <c r="W326">
        <v>20</v>
      </c>
      <c r="X326" s="1" t="s">
        <v>272</v>
      </c>
      <c r="Y326" t="b">
        <v>0</v>
      </c>
      <c r="AB326" s="15"/>
    </row>
    <row r="327" spans="17:28" x14ac:dyDescent="0.3">
      <c r="Q327" t="s">
        <v>9</v>
      </c>
      <c r="R327" t="s">
        <v>3</v>
      </c>
      <c r="S327" s="1" t="str">
        <f>MID(Table11[[#This Row],[Monthly plan / 月度计划]],1,2)</f>
        <v>YR</v>
      </c>
      <c r="T327" s="1" t="str">
        <f>MID(Table11[[#This Row],[Monthly plan / 月度计划]],4,4)</f>
        <v>0986</v>
      </c>
      <c r="U327" s="1" t="s">
        <v>35</v>
      </c>
      <c r="V327" t="s">
        <v>252</v>
      </c>
      <c r="W327">
        <v>20</v>
      </c>
      <c r="X327" s="1" t="s">
        <v>272</v>
      </c>
      <c r="Y327" t="b">
        <v>0</v>
      </c>
      <c r="AB327" s="15"/>
    </row>
    <row r="328" spans="17:28" x14ac:dyDescent="0.3">
      <c r="Q328" t="s">
        <v>9</v>
      </c>
      <c r="R328" t="s">
        <v>3</v>
      </c>
      <c r="S328" s="1" t="str">
        <f>MID(Table11[[#This Row],[Monthly plan / 月度计划]],1,2)</f>
        <v>YR</v>
      </c>
      <c r="T328" s="1" t="str">
        <f>MID(Table11[[#This Row],[Monthly plan / 月度计划]],4,4)</f>
        <v>0946</v>
      </c>
      <c r="U328" s="1" t="s">
        <v>32</v>
      </c>
      <c r="V328" t="s">
        <v>252</v>
      </c>
      <c r="W328">
        <v>50</v>
      </c>
      <c r="X328" s="1" t="s">
        <v>272</v>
      </c>
      <c r="Y328" t="b">
        <v>0</v>
      </c>
      <c r="AB328" s="15"/>
    </row>
    <row r="329" spans="17:28" x14ac:dyDescent="0.3">
      <c r="Q329" t="s">
        <v>9</v>
      </c>
      <c r="R329" t="s">
        <v>3</v>
      </c>
      <c r="S329" s="1" t="str">
        <f>MID(Table11[[#This Row],[Monthly plan / 月度计划]],1,2)</f>
        <v>YR</v>
      </c>
      <c r="T329" s="1" t="str">
        <f>MID(Table11[[#This Row],[Monthly plan / 月度计划]],4,4)</f>
        <v>0946</v>
      </c>
      <c r="U329" s="1" t="s">
        <v>73</v>
      </c>
      <c r="V329" t="s">
        <v>252</v>
      </c>
      <c r="W329">
        <v>20</v>
      </c>
      <c r="X329" s="1" t="s">
        <v>272</v>
      </c>
      <c r="Y329" t="b">
        <v>0</v>
      </c>
      <c r="AB329" s="15"/>
    </row>
    <row r="330" spans="17:28" x14ac:dyDescent="0.3">
      <c r="Q330" t="s">
        <v>9</v>
      </c>
      <c r="R330" t="s">
        <v>3</v>
      </c>
      <c r="S330" s="1" t="str">
        <f>MID(Table11[[#This Row],[Monthly plan / 月度计划]],1,2)</f>
        <v>YR</v>
      </c>
      <c r="T330" s="1" t="str">
        <f>MID(Table11[[#This Row],[Monthly plan / 月度计划]],4,4)</f>
        <v>0906</v>
      </c>
      <c r="U330" s="1" t="s">
        <v>211</v>
      </c>
      <c r="V330" t="s">
        <v>252</v>
      </c>
      <c r="W330">
        <v>15</v>
      </c>
      <c r="X330" s="1" t="s">
        <v>272</v>
      </c>
      <c r="Y330" t="b">
        <v>0</v>
      </c>
      <c r="AB330" s="15"/>
    </row>
    <row r="331" spans="17:28" x14ac:dyDescent="0.3">
      <c r="Q331" t="s">
        <v>9</v>
      </c>
      <c r="R331" t="s">
        <v>3</v>
      </c>
      <c r="S331" s="1" t="str">
        <f>MID(Table11[[#This Row],[Monthly plan / 月度计划]],1,2)</f>
        <v>YR</v>
      </c>
      <c r="T331" s="1" t="str">
        <f>MID(Table11[[#This Row],[Monthly plan / 月度计划]],4,4)</f>
        <v>0906</v>
      </c>
      <c r="U331" s="1" t="s">
        <v>212</v>
      </c>
      <c r="V331" t="s">
        <v>252</v>
      </c>
      <c r="W331">
        <v>15</v>
      </c>
      <c r="X331" s="1" t="s">
        <v>272</v>
      </c>
      <c r="Y331" t="b">
        <v>0</v>
      </c>
      <c r="AB331" s="15"/>
    </row>
    <row r="332" spans="17:28" x14ac:dyDescent="0.3">
      <c r="Q332" t="s">
        <v>9</v>
      </c>
      <c r="R332" t="s">
        <v>3</v>
      </c>
      <c r="S332" s="1" t="str">
        <f>MID(Table11[[#This Row],[Monthly plan / 月度计划]],1,2)</f>
        <v>YR</v>
      </c>
      <c r="T332" s="1" t="str">
        <f>MID(Table11[[#This Row],[Monthly plan / 月度计划]],4,4)</f>
        <v>0906</v>
      </c>
      <c r="U332" s="1" t="s">
        <v>213</v>
      </c>
      <c r="V332" t="s">
        <v>252</v>
      </c>
      <c r="W332">
        <v>15</v>
      </c>
      <c r="X332" s="1" t="s">
        <v>272</v>
      </c>
      <c r="Y332" t="b">
        <v>0</v>
      </c>
      <c r="AB332" s="15"/>
    </row>
    <row r="333" spans="17:28" x14ac:dyDescent="0.3">
      <c r="Q333" t="s">
        <v>9</v>
      </c>
      <c r="R333" t="s">
        <v>3</v>
      </c>
      <c r="S333" s="1" t="str">
        <f>MID(Table11[[#This Row],[Monthly plan / 月度计划]],1,2)</f>
        <v>VS</v>
      </c>
      <c r="T333" s="1" t="str">
        <f>MID(Table11[[#This Row],[Monthly plan / 月度计划]],4,4)</f>
        <v>0925</v>
      </c>
      <c r="U333" s="1" t="s">
        <v>30</v>
      </c>
      <c r="V333" t="s">
        <v>252</v>
      </c>
      <c r="W333">
        <v>40</v>
      </c>
      <c r="X333" s="1" t="s">
        <v>272</v>
      </c>
      <c r="Y333" t="b">
        <v>0</v>
      </c>
      <c r="AB333" s="15"/>
    </row>
    <row r="334" spans="17:28" x14ac:dyDescent="0.3">
      <c r="Q334" t="s">
        <v>9</v>
      </c>
      <c r="R334" t="s">
        <v>3</v>
      </c>
      <c r="S334" s="1" t="str">
        <f>MID(Table11[[#This Row],[Monthly plan / 月度计划]],1,2)</f>
        <v>VS</v>
      </c>
      <c r="T334" s="1" t="str">
        <f>MID(Table11[[#This Row],[Monthly plan / 月度计划]],4,4)</f>
        <v>0905</v>
      </c>
      <c r="U334" s="1" t="s">
        <v>18</v>
      </c>
      <c r="V334" t="s">
        <v>252</v>
      </c>
      <c r="W334">
        <v>70</v>
      </c>
      <c r="X334" s="1" t="s">
        <v>272</v>
      </c>
      <c r="Y334" t="b">
        <v>0</v>
      </c>
      <c r="AB334" s="15"/>
    </row>
    <row r="335" spans="17:28" x14ac:dyDescent="0.3">
      <c r="Q335" t="s">
        <v>9</v>
      </c>
      <c r="R335" t="s">
        <v>3</v>
      </c>
      <c r="S335" s="1" t="str">
        <f>MID(Table11[[#This Row],[Monthly plan / 月度计划]],1,2)</f>
        <v>VS</v>
      </c>
      <c r="T335" s="1" t="str">
        <f>MID(Table11[[#This Row],[Monthly plan / 月度计划]],4,4)</f>
        <v>0885</v>
      </c>
      <c r="U335" s="1" t="s">
        <v>25</v>
      </c>
      <c r="V335" t="s">
        <v>252</v>
      </c>
      <c r="W335">
        <v>70</v>
      </c>
      <c r="X335" s="1" t="s">
        <v>272</v>
      </c>
      <c r="Y335" t="b">
        <v>0</v>
      </c>
      <c r="AB335" s="15"/>
    </row>
    <row r="336" spans="17:28" x14ac:dyDescent="0.3">
      <c r="Q336" t="s">
        <v>9</v>
      </c>
      <c r="R336" t="s">
        <v>3</v>
      </c>
      <c r="S336" s="1" t="str">
        <f>MID(Table11[[#This Row],[Monthly plan / 月度计划]],1,2)</f>
        <v>VS</v>
      </c>
      <c r="T336" s="1" t="str">
        <f>MID(Table11[[#This Row],[Monthly plan / 月度计划]],4,4)</f>
        <v>0885</v>
      </c>
      <c r="U336" s="1" t="s">
        <v>24</v>
      </c>
      <c r="V336" t="s">
        <v>252</v>
      </c>
      <c r="W336">
        <v>70</v>
      </c>
      <c r="X336" s="1" t="s">
        <v>272</v>
      </c>
      <c r="Y336" t="b">
        <v>0</v>
      </c>
      <c r="AB336" s="15"/>
    </row>
    <row r="337" spans="17:28" x14ac:dyDescent="0.3">
      <c r="Q337" t="s">
        <v>9</v>
      </c>
      <c r="R337" t="s">
        <v>3</v>
      </c>
      <c r="S337" s="1" t="str">
        <f>MID(Table11[[#This Row],[Monthly plan / 月度计划]],1,2)</f>
        <v>VS</v>
      </c>
      <c r="T337" s="1" t="str">
        <f>MID(Table11[[#This Row],[Monthly plan / 月度计划]],4,4)</f>
        <v>0905</v>
      </c>
      <c r="U337" s="1" t="s">
        <v>19</v>
      </c>
      <c r="V337" t="s">
        <v>252</v>
      </c>
      <c r="W337">
        <v>20</v>
      </c>
      <c r="X337" s="1" t="s">
        <v>272</v>
      </c>
      <c r="Y337" t="b">
        <v>0</v>
      </c>
      <c r="AB337" s="15"/>
    </row>
    <row r="338" spans="17:28" x14ac:dyDescent="0.3">
      <c r="Q338" t="s">
        <v>9</v>
      </c>
      <c r="R338" t="s">
        <v>3</v>
      </c>
      <c r="S338" s="1" t="str">
        <f>MID(Table11[[#This Row],[Monthly plan / 月度计划]],1,2)</f>
        <v>VS</v>
      </c>
      <c r="T338" s="1" t="str">
        <f>MID(Table11[[#This Row],[Monthly plan / 月度计划]],4,4)</f>
        <v>0905</v>
      </c>
      <c r="U338" s="1" t="s">
        <v>15</v>
      </c>
      <c r="V338" t="s">
        <v>252</v>
      </c>
      <c r="W338">
        <v>20</v>
      </c>
      <c r="X338" s="1" t="s">
        <v>272</v>
      </c>
      <c r="Y338" t="b">
        <v>0</v>
      </c>
      <c r="AB338" s="15"/>
    </row>
    <row r="339" spans="17:28" x14ac:dyDescent="0.3">
      <c r="Q339" t="s">
        <v>9</v>
      </c>
      <c r="R339" t="s">
        <v>3</v>
      </c>
      <c r="S339" s="1" t="str">
        <f>MID(Table11[[#This Row],[Monthly plan / 月度计划]],1,2)</f>
        <v>VS</v>
      </c>
      <c r="T339" s="1" t="str">
        <f>MID(Table11[[#This Row],[Monthly plan / 月度计划]],4,4)</f>
        <v>0905</v>
      </c>
      <c r="U339" s="1" t="s">
        <v>14</v>
      </c>
      <c r="V339" t="s">
        <v>252</v>
      </c>
      <c r="W339">
        <v>20</v>
      </c>
      <c r="X339" s="1" t="s">
        <v>272</v>
      </c>
      <c r="Y339" t="b">
        <v>0</v>
      </c>
    </row>
    <row r="340" spans="17:28" x14ac:dyDescent="0.3">
      <c r="Q340" t="s">
        <v>9</v>
      </c>
      <c r="R340" t="s">
        <v>3</v>
      </c>
      <c r="S340" s="1" t="str">
        <f>MID(Table11[[#This Row],[Monthly plan / 月度计划]],1,2)</f>
        <v>VS</v>
      </c>
      <c r="T340" s="1" t="str">
        <f>MID(Table11[[#This Row],[Monthly plan / 月度计划]],4,4)</f>
        <v>0905</v>
      </c>
      <c r="U340" s="1" t="s">
        <v>17</v>
      </c>
      <c r="V340" t="s">
        <v>252</v>
      </c>
      <c r="W340">
        <v>15</v>
      </c>
      <c r="X340" s="1" t="s">
        <v>272</v>
      </c>
      <c r="Y340" t="b">
        <v>0</v>
      </c>
      <c r="AA340" s="9"/>
    </row>
    <row r="341" spans="17:28" x14ac:dyDescent="0.3">
      <c r="Q341" t="s">
        <v>9</v>
      </c>
      <c r="R341" t="s">
        <v>3</v>
      </c>
      <c r="S341" s="1" t="str">
        <f>MID(Table11[[#This Row],[Monthly plan / 月度计划]],1,2)</f>
        <v>VS</v>
      </c>
      <c r="T341" s="1" t="str">
        <f>MID(Table11[[#This Row],[Monthly plan / 月度计划]],4,4)</f>
        <v>0905</v>
      </c>
      <c r="U341" s="1" t="s">
        <v>16</v>
      </c>
      <c r="V341" t="s">
        <v>252</v>
      </c>
      <c r="W341">
        <v>15</v>
      </c>
      <c r="X341" s="1" t="s">
        <v>272</v>
      </c>
      <c r="Y341" t="b">
        <v>0</v>
      </c>
      <c r="AA341" s="9"/>
    </row>
    <row r="342" spans="17:28" x14ac:dyDescent="0.3">
      <c r="Q342" t="s">
        <v>9</v>
      </c>
      <c r="R342" t="s">
        <v>3</v>
      </c>
      <c r="S342" s="1" t="str">
        <f>MID(Table11[[#This Row],[Monthly plan / 月度计划]],1,2)</f>
        <v>YR</v>
      </c>
      <c r="T342" s="1" t="str">
        <f>MID(Table11[[#This Row],[Monthly plan / 月度计划]],4,4)</f>
        <v>0886</v>
      </c>
      <c r="U342" s="1" t="s">
        <v>214</v>
      </c>
      <c r="V342" t="s">
        <v>253</v>
      </c>
      <c r="W342">
        <v>30</v>
      </c>
      <c r="X342" s="1" t="s">
        <v>295</v>
      </c>
      <c r="Y342" t="b">
        <v>0</v>
      </c>
      <c r="AA342" s="9"/>
    </row>
    <row r="343" spans="17:28" x14ac:dyDescent="0.3">
      <c r="Q343" t="s">
        <v>9</v>
      </c>
      <c r="R343" t="s">
        <v>3</v>
      </c>
      <c r="S343" s="1" t="str">
        <f>MID(Table11[[#This Row],[Monthly plan / 月度计划]],1,2)</f>
        <v>YR</v>
      </c>
      <c r="T343" s="1" t="str">
        <f>MID(Table11[[#This Row],[Monthly plan / 月度计划]],4,4)</f>
        <v>0886</v>
      </c>
      <c r="U343" s="1" t="s">
        <v>40</v>
      </c>
      <c r="V343" t="s">
        <v>256</v>
      </c>
      <c r="W343">
        <v>7</v>
      </c>
      <c r="X343" s="1" t="s">
        <v>297</v>
      </c>
      <c r="Y343" t="b">
        <v>0</v>
      </c>
      <c r="AA343" s="9"/>
    </row>
    <row r="344" spans="17:28" x14ac:dyDescent="0.3">
      <c r="Q344" t="s">
        <v>9</v>
      </c>
      <c r="R344" t="s">
        <v>3</v>
      </c>
      <c r="S344" s="1" t="str">
        <f>MID(Table11[[#This Row],[Monthly plan / 月度计划]],1,2)</f>
        <v>YR</v>
      </c>
      <c r="T344" s="1" t="str">
        <f>MID(Table11[[#This Row],[Monthly plan / 月度计划]],4,4)</f>
        <v>0876</v>
      </c>
      <c r="U344" s="1" t="s">
        <v>39</v>
      </c>
      <c r="V344" t="s">
        <v>254</v>
      </c>
      <c r="W344">
        <v>8</v>
      </c>
      <c r="X344" s="1" t="s">
        <v>273</v>
      </c>
      <c r="Y344" t="b">
        <v>0</v>
      </c>
      <c r="AA344" s="9"/>
    </row>
    <row r="345" spans="17:28" x14ac:dyDescent="0.3">
      <c r="Q345" t="s">
        <v>9</v>
      </c>
      <c r="R345" t="s">
        <v>3</v>
      </c>
      <c r="S345" s="1" t="str">
        <f>MID(Table11[[#This Row],[Monthly plan / 月度计划]],1,2)</f>
        <v>YR</v>
      </c>
      <c r="T345" s="1" t="str">
        <f>MID(Table11[[#This Row],[Monthly plan / 月度计划]],4,4)</f>
        <v>0876</v>
      </c>
      <c r="U345" s="1" t="s">
        <v>215</v>
      </c>
      <c r="V345" t="s">
        <v>254</v>
      </c>
      <c r="W345">
        <v>13</v>
      </c>
      <c r="X345" s="1" t="s">
        <v>273</v>
      </c>
      <c r="Y345" t="b">
        <v>0</v>
      </c>
      <c r="AA345" s="9"/>
    </row>
    <row r="346" spans="17:28" x14ac:dyDescent="0.3">
      <c r="Q346" t="s">
        <v>9</v>
      </c>
      <c r="R346" t="s">
        <v>3</v>
      </c>
      <c r="S346" s="1" t="str">
        <f>MID(Table11[[#This Row],[Monthly plan / 月度计划]],1,2)</f>
        <v>YR</v>
      </c>
      <c r="T346" s="1" t="str">
        <f>MID(Table11[[#This Row],[Monthly plan / 月度计划]],4,4)</f>
        <v>0846</v>
      </c>
      <c r="U346" s="1" t="s">
        <v>216</v>
      </c>
      <c r="V346" t="s">
        <v>254</v>
      </c>
      <c r="W346">
        <v>50</v>
      </c>
      <c r="X346" s="1" t="s">
        <v>280</v>
      </c>
      <c r="Y346" t="b">
        <v>0</v>
      </c>
      <c r="AA346" s="9"/>
    </row>
    <row r="347" spans="17:28" x14ac:dyDescent="0.3">
      <c r="Q347" t="s">
        <v>9</v>
      </c>
      <c r="R347" t="s">
        <v>3</v>
      </c>
      <c r="S347" s="1" t="str">
        <f>MID(Table11[[#This Row],[Monthly plan / 月度计划]],1,2)</f>
        <v>YR</v>
      </c>
      <c r="T347" s="1" t="str">
        <f>MID(Table11[[#This Row],[Monthly plan / 月度计划]],4,4)</f>
        <v>0886</v>
      </c>
      <c r="U347" s="1" t="s">
        <v>41</v>
      </c>
      <c r="V347" t="s">
        <v>253</v>
      </c>
      <c r="W347">
        <v>10</v>
      </c>
      <c r="X347" s="1" t="s">
        <v>295</v>
      </c>
      <c r="Y347" t="b">
        <v>0</v>
      </c>
      <c r="AA347" s="9"/>
    </row>
    <row r="348" spans="17:28" x14ac:dyDescent="0.3">
      <c r="Q348" t="s">
        <v>9</v>
      </c>
      <c r="R348" t="s">
        <v>3</v>
      </c>
      <c r="S348" s="1" t="str">
        <f>MID(Table11[[#This Row],[Monthly plan / 月度计划]],1,2)</f>
        <v>YR</v>
      </c>
      <c r="T348" s="1" t="str">
        <f>MID(Table11[[#This Row],[Monthly plan / 月度计划]],4,4)</f>
        <v>0906</v>
      </c>
      <c r="U348" s="1" t="s">
        <v>43</v>
      </c>
      <c r="V348" t="s">
        <v>253</v>
      </c>
      <c r="W348">
        <v>20</v>
      </c>
      <c r="X348" s="1" t="s">
        <v>295</v>
      </c>
      <c r="Y348" t="b">
        <v>0</v>
      </c>
      <c r="AA348" s="9"/>
    </row>
    <row r="349" spans="17:28" x14ac:dyDescent="0.3">
      <c r="Q349" t="s">
        <v>9</v>
      </c>
      <c r="R349" t="s">
        <v>3</v>
      </c>
      <c r="S349" s="1" t="str">
        <f>MID(Table11[[#This Row],[Monthly plan / 月度计划]],1,2)</f>
        <v>VS</v>
      </c>
      <c r="T349" s="1" t="str">
        <f>MID(Table11[[#This Row],[Monthly plan / 月度计划]],4,4)</f>
        <v>0905</v>
      </c>
      <c r="U349" s="1" t="s">
        <v>29</v>
      </c>
      <c r="V349" t="s">
        <v>253</v>
      </c>
      <c r="W349">
        <v>15</v>
      </c>
      <c r="X349" s="1" t="s">
        <v>295</v>
      </c>
      <c r="Y349" t="b">
        <v>0</v>
      </c>
      <c r="AA349" s="9"/>
    </row>
    <row r="350" spans="17:28" x14ac:dyDescent="0.3">
      <c r="Q350" t="s">
        <v>9</v>
      </c>
      <c r="R350" t="s">
        <v>3</v>
      </c>
      <c r="S350" s="1" t="str">
        <f>MID(Table11[[#This Row],[Monthly plan / 月度计划]],1,2)</f>
        <v>VS</v>
      </c>
      <c r="T350" s="1" t="str">
        <f>MID(Table11[[#This Row],[Monthly plan / 月度计划]],4,4)</f>
        <v>0885</v>
      </c>
      <c r="U350" s="1" t="s">
        <v>70</v>
      </c>
      <c r="V350" t="s">
        <v>253</v>
      </c>
      <c r="W350">
        <v>30</v>
      </c>
      <c r="X350" s="1" t="s">
        <v>295</v>
      </c>
      <c r="Y350" t="b">
        <v>0</v>
      </c>
      <c r="AA350" s="9"/>
    </row>
    <row r="351" spans="17:28" x14ac:dyDescent="0.3">
      <c r="Q351" t="s">
        <v>9</v>
      </c>
      <c r="R351" t="s">
        <v>3</v>
      </c>
      <c r="S351" s="1" t="str">
        <f>MID(Table11[[#This Row],[Monthly plan / 月度计划]],1,2)</f>
        <v>VS</v>
      </c>
      <c r="T351" s="1" t="str">
        <f>MID(Table11[[#This Row],[Monthly plan / 月度计划]],4,4)</f>
        <v>0865</v>
      </c>
      <c r="U351" s="1" t="s">
        <v>22</v>
      </c>
      <c r="V351" t="s">
        <v>253</v>
      </c>
      <c r="W351">
        <v>20</v>
      </c>
      <c r="X351" s="1" t="s">
        <v>295</v>
      </c>
      <c r="Y351" t="b">
        <v>0</v>
      </c>
      <c r="AA351" s="9"/>
    </row>
    <row r="352" spans="17:28" x14ac:dyDescent="0.3">
      <c r="Q352" t="s">
        <v>9</v>
      </c>
      <c r="R352" t="s">
        <v>3</v>
      </c>
      <c r="S352" s="1" t="str">
        <f>MID(Table11[[#This Row],[Monthly plan / 月度计划]],1,2)</f>
        <v>VS</v>
      </c>
      <c r="T352" s="1" t="str">
        <f>MID(Table11[[#This Row],[Monthly plan / 月度计划]],4,4)</f>
        <v>0865</v>
      </c>
      <c r="U352" s="1" t="s">
        <v>21</v>
      </c>
      <c r="V352" t="s">
        <v>253</v>
      </c>
      <c r="W352">
        <v>50</v>
      </c>
      <c r="X352" s="1" t="s">
        <v>295</v>
      </c>
      <c r="Y352" t="b">
        <v>0</v>
      </c>
      <c r="AA352" s="9"/>
    </row>
    <row r="353" spans="17:28" x14ac:dyDescent="0.3">
      <c r="Q353" t="s">
        <v>9</v>
      </c>
      <c r="R353" t="s">
        <v>3</v>
      </c>
      <c r="S353" s="1" t="str">
        <f>MID(Table11[[#This Row],[Monthly plan / 月度计划]],1,2)</f>
        <v>VS</v>
      </c>
      <c r="T353" s="1" t="str">
        <f>MID(Table11[[#This Row],[Monthly plan / 月度计划]],4,4)</f>
        <v>0865</v>
      </c>
      <c r="U353" s="1" t="s">
        <v>217</v>
      </c>
      <c r="V353" t="s">
        <v>256</v>
      </c>
      <c r="W353">
        <v>18</v>
      </c>
      <c r="X353" s="1" t="s">
        <v>297</v>
      </c>
      <c r="Y353" t="b">
        <v>0</v>
      </c>
      <c r="AA353" s="9"/>
    </row>
    <row r="354" spans="17:28" x14ac:dyDescent="0.3">
      <c r="Q354" t="s">
        <v>9</v>
      </c>
      <c r="R354" t="s">
        <v>3</v>
      </c>
      <c r="S354" s="1" t="str">
        <f>MID(Table11[[#This Row],[Monthly plan / 月度计划]],1,2)</f>
        <v>VS</v>
      </c>
      <c r="T354" s="1" t="str">
        <f>MID(Table11[[#This Row],[Monthly plan / 月度计划]],4,4)</f>
        <v>0845</v>
      </c>
      <c r="U354" s="1" t="s">
        <v>20</v>
      </c>
      <c r="V354" t="s">
        <v>254</v>
      </c>
      <c r="W354">
        <v>40</v>
      </c>
      <c r="X354" s="1" t="s">
        <v>280</v>
      </c>
      <c r="Y354" t="b">
        <v>0</v>
      </c>
      <c r="AA354" s="9"/>
    </row>
    <row r="355" spans="17:28" x14ac:dyDescent="0.3">
      <c r="Q355" t="s">
        <v>9</v>
      </c>
      <c r="R355" t="s">
        <v>3</v>
      </c>
      <c r="S355" s="1" t="str">
        <f>MID(Table11[[#This Row],[Monthly plan / 月度计划]],1,2)</f>
        <v>VS</v>
      </c>
      <c r="T355" s="1" t="str">
        <f>MID(Table11[[#This Row],[Monthly plan / 月度计划]],4,4)</f>
        <v>0905</v>
      </c>
      <c r="U355" s="1" t="s">
        <v>28</v>
      </c>
      <c r="V355" t="s">
        <v>253</v>
      </c>
      <c r="W355">
        <v>15</v>
      </c>
      <c r="X355" s="1" t="s">
        <v>275</v>
      </c>
      <c r="Y355" t="b">
        <v>0</v>
      </c>
      <c r="AA355" s="9"/>
    </row>
    <row r="356" spans="17:28" x14ac:dyDescent="0.3">
      <c r="Q356" t="s">
        <v>9</v>
      </c>
      <c r="R356" t="s">
        <v>3</v>
      </c>
      <c r="S356" s="1" t="str">
        <f>MID(Table11[[#This Row],[Monthly plan / 月度计划]],1,2)</f>
        <v>VS</v>
      </c>
      <c r="T356" s="1" t="str">
        <f>MID(Table11[[#This Row],[Monthly plan / 月度计划]],4,4)</f>
        <v>0885</v>
      </c>
      <c r="U356" s="1" t="s">
        <v>26</v>
      </c>
      <c r="V356" t="s">
        <v>253</v>
      </c>
      <c r="W356">
        <v>20</v>
      </c>
      <c r="X356" s="1" t="s">
        <v>295</v>
      </c>
      <c r="Y356" t="b">
        <v>0</v>
      </c>
      <c r="AA356" s="9"/>
    </row>
    <row r="357" spans="17:28" x14ac:dyDescent="0.3">
      <c r="Q357" t="s">
        <v>218</v>
      </c>
      <c r="R357" t="s">
        <v>8</v>
      </c>
      <c r="S357" s="1" t="str">
        <f>MID(Table11[[#This Row],[Monthly plan / 月度计划]],1,2)</f>
        <v>VS</v>
      </c>
      <c r="T357" s="1" t="str">
        <f>MID(Table11[[#This Row],[Monthly plan / 月度计划]],4,4)</f>
        <v>1000</v>
      </c>
      <c r="U357" s="1" t="s">
        <v>6</v>
      </c>
      <c r="V357" t="s">
        <v>252</v>
      </c>
      <c r="W357">
        <v>70</v>
      </c>
      <c r="X357" s="1" t="s">
        <v>272</v>
      </c>
      <c r="Y357" t="b">
        <v>1</v>
      </c>
      <c r="AA357" s="9"/>
    </row>
    <row r="358" spans="17:28" x14ac:dyDescent="0.3">
      <c r="Q358" t="s">
        <v>218</v>
      </c>
      <c r="R358" t="s">
        <v>8</v>
      </c>
      <c r="S358" s="1" t="str">
        <f>MID(Table11[[#This Row],[Monthly plan / 月度计划]],1,2)</f>
        <v>VS</v>
      </c>
      <c r="T358" s="1" t="str">
        <f>MID(Table11[[#This Row],[Monthly plan / 月度计划]],4,4)</f>
        <v>0926</v>
      </c>
      <c r="U358" s="1" t="s">
        <v>47</v>
      </c>
      <c r="V358" t="s">
        <v>252</v>
      </c>
      <c r="W358">
        <v>50</v>
      </c>
      <c r="X358" s="1" t="s">
        <v>272</v>
      </c>
      <c r="Y358" t="b">
        <v>1</v>
      </c>
      <c r="AA358" s="10"/>
      <c r="AB358" s="10"/>
    </row>
    <row r="359" spans="17:28" x14ac:dyDescent="0.3">
      <c r="Q359" t="s">
        <v>218</v>
      </c>
      <c r="R359" t="s">
        <v>8</v>
      </c>
      <c r="S359" s="1" t="str">
        <f>MID(Table11[[#This Row],[Monthly plan / 月度计划]],1,2)</f>
        <v>VS</v>
      </c>
      <c r="T359" s="1" t="str">
        <f>MID(Table11[[#This Row],[Monthly plan / 月度计划]],4,4)</f>
        <v>0866</v>
      </c>
      <c r="U359" s="1" t="s">
        <v>45</v>
      </c>
      <c r="V359" t="s">
        <v>252</v>
      </c>
      <c r="W359">
        <v>70</v>
      </c>
      <c r="X359" s="1" t="s">
        <v>272</v>
      </c>
      <c r="Y359" t="b">
        <v>1</v>
      </c>
      <c r="AA359" s="10"/>
      <c r="AB359" s="10"/>
    </row>
    <row r="360" spans="17:28" x14ac:dyDescent="0.3">
      <c r="Q360" t="s">
        <v>218</v>
      </c>
      <c r="R360" t="s">
        <v>8</v>
      </c>
      <c r="S360" s="1" t="str">
        <f>MID(Table11[[#This Row],[Monthly plan / 月度计划]],1,2)</f>
        <v>VS</v>
      </c>
      <c r="T360" s="1" t="str">
        <f>MID(Table11[[#This Row],[Monthly plan / 月度计划]],4,4)</f>
        <v>0866</v>
      </c>
      <c r="U360" s="1" t="s">
        <v>53</v>
      </c>
      <c r="V360" t="s">
        <v>252</v>
      </c>
      <c r="W360">
        <v>70</v>
      </c>
      <c r="X360" s="1" t="s">
        <v>272</v>
      </c>
      <c r="Y360" t="b">
        <v>1</v>
      </c>
      <c r="AA360" s="10"/>
      <c r="AB360" s="13"/>
    </row>
    <row r="361" spans="17:28" x14ac:dyDescent="0.3">
      <c r="Q361" t="s">
        <v>218</v>
      </c>
      <c r="R361" t="s">
        <v>8</v>
      </c>
      <c r="S361" s="1" t="str">
        <f>MID(Table11[[#This Row],[Monthly plan / 月度计划]],1,2)</f>
        <v>VS</v>
      </c>
      <c r="T361" s="1" t="str">
        <f>MID(Table11[[#This Row],[Monthly plan / 月度计划]],4,4)</f>
        <v>0986</v>
      </c>
      <c r="U361" s="1" t="s">
        <v>50</v>
      </c>
      <c r="V361" t="s">
        <v>252</v>
      </c>
      <c r="W361">
        <v>30</v>
      </c>
      <c r="X361" s="1" t="s">
        <v>272</v>
      </c>
      <c r="Y361" t="b">
        <v>1</v>
      </c>
      <c r="AA361" s="10"/>
      <c r="AB361" s="13"/>
    </row>
    <row r="362" spans="17:28" x14ac:dyDescent="0.3">
      <c r="Q362" t="s">
        <v>218</v>
      </c>
      <c r="R362" t="s">
        <v>8</v>
      </c>
      <c r="S362" s="1" t="str">
        <f>MID(Table11[[#This Row],[Monthly plan / 月度计划]],1,2)</f>
        <v>VS</v>
      </c>
      <c r="T362" s="1" t="str">
        <f>MID(Table11[[#This Row],[Monthly plan / 月度计划]],4,4)</f>
        <v>0966</v>
      </c>
      <c r="U362" s="1" t="s">
        <v>94</v>
      </c>
      <c r="V362" t="s">
        <v>252</v>
      </c>
      <c r="W362">
        <v>30</v>
      </c>
      <c r="X362" s="1" t="s">
        <v>272</v>
      </c>
      <c r="Y362" t="b">
        <v>1</v>
      </c>
      <c r="AA362" s="10"/>
      <c r="AB362" s="13"/>
    </row>
    <row r="363" spans="17:28" x14ac:dyDescent="0.3">
      <c r="Q363" t="s">
        <v>218</v>
      </c>
      <c r="R363" t="s">
        <v>8</v>
      </c>
      <c r="S363" s="1" t="str">
        <f>MID(Table11[[#This Row],[Monthly plan / 月度计划]],1,2)</f>
        <v>VS</v>
      </c>
      <c r="T363" s="1" t="str">
        <f>MID(Table11[[#This Row],[Monthly plan / 月度计划]],4,4)</f>
        <v>0946</v>
      </c>
      <c r="U363" s="1" t="s">
        <v>219</v>
      </c>
      <c r="V363" t="s">
        <v>252</v>
      </c>
      <c r="W363">
        <v>30</v>
      </c>
      <c r="X363" s="1" t="s">
        <v>272</v>
      </c>
      <c r="Y363" t="b">
        <v>1</v>
      </c>
      <c r="AA363" s="10"/>
      <c r="AB363" s="13"/>
    </row>
    <row r="364" spans="17:28" x14ac:dyDescent="0.3">
      <c r="Q364" t="s">
        <v>218</v>
      </c>
      <c r="R364" t="s">
        <v>8</v>
      </c>
      <c r="S364" s="1" t="str">
        <f>MID(Table11[[#This Row],[Monthly plan / 月度计划]],1,2)</f>
        <v>VS</v>
      </c>
      <c r="T364" s="1" t="str">
        <f>MID(Table11[[#This Row],[Monthly plan / 月度计划]],4,4)</f>
        <v>0946</v>
      </c>
      <c r="U364" s="1" t="s">
        <v>220</v>
      </c>
      <c r="V364" t="s">
        <v>252</v>
      </c>
      <c r="W364">
        <v>30</v>
      </c>
      <c r="X364" s="1" t="s">
        <v>272</v>
      </c>
      <c r="Y364" t="b">
        <v>1</v>
      </c>
      <c r="AA364" s="10"/>
      <c r="AB364" s="13"/>
    </row>
    <row r="365" spans="17:28" x14ac:dyDescent="0.3">
      <c r="Q365" t="s">
        <v>218</v>
      </c>
      <c r="R365" t="s">
        <v>8</v>
      </c>
      <c r="S365" s="1" t="str">
        <f>MID(Table11[[#This Row],[Monthly plan / 月度计划]],1,2)</f>
        <v>VS</v>
      </c>
      <c r="T365" s="1" t="str">
        <f>MID(Table11[[#This Row],[Monthly plan / 月度计划]],4,4)</f>
        <v>0946</v>
      </c>
      <c r="U365" s="1" t="s">
        <v>221</v>
      </c>
      <c r="V365" t="s">
        <v>252</v>
      </c>
      <c r="W365">
        <v>30</v>
      </c>
      <c r="X365" s="1" t="s">
        <v>272</v>
      </c>
      <c r="Y365" t="b">
        <v>1</v>
      </c>
      <c r="AA365" s="10"/>
      <c r="AB365" s="13"/>
    </row>
    <row r="366" spans="17:28" x14ac:dyDescent="0.3">
      <c r="Q366" t="s">
        <v>218</v>
      </c>
      <c r="R366" t="s">
        <v>8</v>
      </c>
      <c r="S366" s="1" t="str">
        <f>MID(Table11[[#This Row],[Monthly plan / 月度计划]],1,2)</f>
        <v>VS</v>
      </c>
      <c r="T366" s="1" t="str">
        <f>MID(Table11[[#This Row],[Monthly plan / 月度计划]],4,4)</f>
        <v>0946</v>
      </c>
      <c r="U366" s="1" t="s">
        <v>222</v>
      </c>
      <c r="V366" t="s">
        <v>252</v>
      </c>
      <c r="W366">
        <v>30</v>
      </c>
      <c r="X366" s="1" t="s">
        <v>272</v>
      </c>
      <c r="Y366" t="b">
        <v>1</v>
      </c>
      <c r="AA366" s="10"/>
      <c r="AB366" s="13"/>
    </row>
    <row r="367" spans="17:28" x14ac:dyDescent="0.3">
      <c r="Q367" t="s">
        <v>218</v>
      </c>
      <c r="R367" t="s">
        <v>8</v>
      </c>
      <c r="S367" s="1" t="str">
        <f>MID(Table11[[#This Row],[Monthly plan / 月度计划]],1,2)</f>
        <v>VS</v>
      </c>
      <c r="T367" s="1" t="str">
        <f>MID(Table11[[#This Row],[Monthly plan / 月度计划]],4,4)</f>
        <v>0946</v>
      </c>
      <c r="U367" s="1" t="s">
        <v>223</v>
      </c>
      <c r="V367" t="s">
        <v>252</v>
      </c>
      <c r="W367">
        <v>30</v>
      </c>
      <c r="X367" s="1" t="s">
        <v>272</v>
      </c>
      <c r="Y367" t="b">
        <v>1</v>
      </c>
      <c r="AA367" s="10"/>
      <c r="AB367" s="13"/>
    </row>
    <row r="368" spans="17:28" x14ac:dyDescent="0.3">
      <c r="Q368" t="s">
        <v>218</v>
      </c>
      <c r="R368" t="s">
        <v>8</v>
      </c>
      <c r="S368" s="1" t="str">
        <f>MID(Table11[[#This Row],[Monthly plan / 月度计划]],1,2)</f>
        <v>VS</v>
      </c>
      <c r="T368" s="1" t="str">
        <f>MID(Table11[[#This Row],[Monthly plan / 月度计划]],4,4)</f>
        <v>0946</v>
      </c>
      <c r="U368" s="1" t="s">
        <v>224</v>
      </c>
      <c r="V368" t="s">
        <v>252</v>
      </c>
      <c r="W368">
        <v>30</v>
      </c>
      <c r="X368" s="1" t="s">
        <v>272</v>
      </c>
      <c r="Y368" t="b">
        <v>1</v>
      </c>
      <c r="AA368" s="10"/>
      <c r="AB368" s="13"/>
    </row>
    <row r="369" spans="17:28" x14ac:dyDescent="0.3">
      <c r="Q369" t="s">
        <v>218</v>
      </c>
      <c r="R369" t="s">
        <v>8</v>
      </c>
      <c r="S369" s="1" t="str">
        <f>MID(Table11[[#This Row],[Monthly plan / 月度计划]],1,2)</f>
        <v>VS</v>
      </c>
      <c r="T369" s="1" t="str">
        <f>MID(Table11[[#This Row],[Monthly plan / 月度计划]],4,4)</f>
        <v>1015</v>
      </c>
      <c r="U369" s="1" t="s">
        <v>5</v>
      </c>
      <c r="V369" t="s">
        <v>252</v>
      </c>
      <c r="W369">
        <v>20</v>
      </c>
      <c r="X369" s="1" t="s">
        <v>272</v>
      </c>
      <c r="Y369" t="b">
        <v>1</v>
      </c>
      <c r="AA369" s="10"/>
      <c r="AB369" s="13"/>
    </row>
    <row r="370" spans="17:28" x14ac:dyDescent="0.3">
      <c r="Q370" t="s">
        <v>218</v>
      </c>
      <c r="R370" t="s">
        <v>8</v>
      </c>
      <c r="S370" s="1" t="str">
        <f>MID(Table11[[#This Row],[Monthly plan / 月度计划]],1,2)</f>
        <v>VS</v>
      </c>
      <c r="T370" s="1" t="str">
        <f>MID(Table11[[#This Row],[Monthly plan / 月度计划]],4,4)</f>
        <v>0986</v>
      </c>
      <c r="U370" s="1" t="s">
        <v>51</v>
      </c>
      <c r="V370" t="s">
        <v>252</v>
      </c>
      <c r="W370">
        <v>30</v>
      </c>
      <c r="X370" s="1" t="s">
        <v>272</v>
      </c>
      <c r="Y370" t="b">
        <v>1</v>
      </c>
      <c r="AA370" s="10"/>
      <c r="AB370" s="13"/>
    </row>
    <row r="371" spans="17:28" x14ac:dyDescent="0.3">
      <c r="Q371" t="s">
        <v>218</v>
      </c>
      <c r="R371" t="s">
        <v>8</v>
      </c>
      <c r="S371" s="1" t="str">
        <f>MID(Table11[[#This Row],[Monthly plan / 月度计划]],1,2)</f>
        <v>VS</v>
      </c>
      <c r="T371" s="1" t="str">
        <f>MID(Table11[[#This Row],[Monthly plan / 月度计划]],4,4)</f>
        <v>0906</v>
      </c>
      <c r="U371" s="1" t="s">
        <v>203</v>
      </c>
      <c r="V371" t="s">
        <v>252</v>
      </c>
      <c r="W371">
        <v>40</v>
      </c>
      <c r="X371" s="1" t="s">
        <v>272</v>
      </c>
      <c r="Y371" t="b">
        <v>1</v>
      </c>
      <c r="AA371" s="10"/>
      <c r="AB371" s="13"/>
    </row>
    <row r="372" spans="17:28" x14ac:dyDescent="0.3">
      <c r="Q372" t="s">
        <v>218</v>
      </c>
      <c r="R372" t="s">
        <v>8</v>
      </c>
      <c r="S372" s="1" t="str">
        <f>MID(Table11[[#This Row],[Monthly plan / 月度计划]],1,2)</f>
        <v>VS</v>
      </c>
      <c r="T372" s="1" t="str">
        <f>MID(Table11[[#This Row],[Monthly plan / 月度计划]],4,4)</f>
        <v>0906</v>
      </c>
      <c r="U372" s="1" t="s">
        <v>225</v>
      </c>
      <c r="V372" t="s">
        <v>252</v>
      </c>
      <c r="W372">
        <v>30</v>
      </c>
      <c r="X372" s="1" t="s">
        <v>272</v>
      </c>
      <c r="Y372" t="b">
        <v>1</v>
      </c>
      <c r="AA372" s="10"/>
      <c r="AB372" s="13"/>
    </row>
    <row r="373" spans="17:28" x14ac:dyDescent="0.3">
      <c r="Q373" t="s">
        <v>218</v>
      </c>
      <c r="R373" t="s">
        <v>8</v>
      </c>
      <c r="S373" s="1" t="str">
        <f>MID(Table11[[#This Row],[Monthly plan / 月度计划]],1,2)</f>
        <v>VS</v>
      </c>
      <c r="T373" s="1" t="str">
        <f>MID(Table11[[#This Row],[Monthly plan / 月度计划]],4,4)</f>
        <v>0906</v>
      </c>
      <c r="U373" s="1" t="s">
        <v>226</v>
      </c>
      <c r="V373" t="s">
        <v>252</v>
      </c>
      <c r="W373">
        <v>30</v>
      </c>
      <c r="X373" s="1" t="s">
        <v>272</v>
      </c>
      <c r="Y373" t="b">
        <v>1</v>
      </c>
      <c r="AB373" s="13"/>
    </row>
    <row r="374" spans="17:28" x14ac:dyDescent="0.3">
      <c r="Q374" t="s">
        <v>218</v>
      </c>
      <c r="R374" t="s">
        <v>8</v>
      </c>
      <c r="S374" s="1" t="str">
        <f>MID(Table11[[#This Row],[Monthly plan / 月度计划]],1,2)</f>
        <v>YR</v>
      </c>
      <c r="T374" s="1" t="str">
        <f>MID(Table11[[#This Row],[Monthly plan / 月度计划]],4,4)</f>
        <v>0926</v>
      </c>
      <c r="U374" s="1" t="s">
        <v>44</v>
      </c>
      <c r="V374" t="s">
        <v>252</v>
      </c>
      <c r="W374">
        <v>50</v>
      </c>
      <c r="X374" s="1" t="s">
        <v>272</v>
      </c>
      <c r="Y374" t="b">
        <v>1</v>
      </c>
      <c r="AB374" s="13"/>
    </row>
    <row r="375" spans="17:28" x14ac:dyDescent="0.3">
      <c r="Q375" t="s">
        <v>218</v>
      </c>
      <c r="R375" t="s">
        <v>8</v>
      </c>
      <c r="S375" s="1" t="str">
        <f>MID(Table11[[#This Row],[Monthly plan / 月度计划]],1,2)</f>
        <v>VS</v>
      </c>
      <c r="T375" s="1" t="str">
        <f>MID(Table11[[#This Row],[Monthly plan / 月度计划]],4,4)</f>
        <v>0946</v>
      </c>
      <c r="U375" s="1" t="s">
        <v>64</v>
      </c>
      <c r="V375" t="s">
        <v>253</v>
      </c>
      <c r="W375">
        <v>40</v>
      </c>
      <c r="X375" s="1" t="s">
        <v>286</v>
      </c>
      <c r="Y375" t="b">
        <v>1</v>
      </c>
    </row>
    <row r="376" spans="17:28" x14ac:dyDescent="0.3">
      <c r="Q376" t="s">
        <v>218</v>
      </c>
      <c r="R376" t="s">
        <v>8</v>
      </c>
      <c r="S376" s="1" t="str">
        <f>MID(Table11[[#This Row],[Monthly plan / 月度计划]],1,2)</f>
        <v>VS</v>
      </c>
      <c r="T376" s="1" t="str">
        <f>MID(Table11[[#This Row],[Monthly plan / 月度计划]],4,4)</f>
        <v>0926</v>
      </c>
      <c r="U376" s="1" t="s">
        <v>227</v>
      </c>
      <c r="V376" t="s">
        <v>254</v>
      </c>
      <c r="W376">
        <v>10</v>
      </c>
      <c r="X376" s="1" t="s">
        <v>275</v>
      </c>
      <c r="Y376" t="b">
        <v>1</v>
      </c>
    </row>
    <row r="377" spans="17:28" x14ac:dyDescent="0.3">
      <c r="Q377" t="s">
        <v>218</v>
      </c>
      <c r="R377" t="s">
        <v>8</v>
      </c>
      <c r="S377" s="1" t="str">
        <f>MID(Table11[[#This Row],[Monthly plan / 月度计划]],1,2)</f>
        <v>VS</v>
      </c>
      <c r="T377" s="1" t="str">
        <f>MID(Table11[[#This Row],[Monthly plan / 月度计划]],4,4)</f>
        <v>0886</v>
      </c>
      <c r="U377" s="1" t="s">
        <v>61</v>
      </c>
      <c r="V377" t="s">
        <v>254</v>
      </c>
      <c r="W377">
        <v>40</v>
      </c>
      <c r="X377" s="1" t="s">
        <v>276</v>
      </c>
      <c r="Y377" t="b">
        <v>1</v>
      </c>
    </row>
    <row r="378" spans="17:28" x14ac:dyDescent="0.3">
      <c r="Q378" t="s">
        <v>218</v>
      </c>
      <c r="R378" t="s">
        <v>8</v>
      </c>
      <c r="S378" s="1" t="str">
        <f>MID(Table11[[#This Row],[Monthly plan / 月度计划]],1,2)</f>
        <v>VS</v>
      </c>
      <c r="T378" s="1" t="str">
        <f>MID(Table11[[#This Row],[Monthly plan / 月度计划]],4,4)</f>
        <v>0846</v>
      </c>
      <c r="U378" s="1" t="s">
        <v>57</v>
      </c>
      <c r="V378" t="s">
        <v>253</v>
      </c>
      <c r="W378">
        <v>40</v>
      </c>
      <c r="X378" s="1" t="s">
        <v>287</v>
      </c>
      <c r="Y378" t="b">
        <v>1</v>
      </c>
    </row>
    <row r="379" spans="17:28" x14ac:dyDescent="0.3">
      <c r="Q379" t="s">
        <v>218</v>
      </c>
      <c r="R379" t="s">
        <v>8</v>
      </c>
      <c r="S379" s="1" t="str">
        <f>MID(Table11[[#This Row],[Monthly plan / 月度计划]],1,2)</f>
        <v>VS</v>
      </c>
      <c r="T379" s="1" t="str">
        <f>MID(Table11[[#This Row],[Monthly plan / 月度计划]],4,4)</f>
        <v>0846</v>
      </c>
      <c r="U379" s="1" t="s">
        <v>205</v>
      </c>
      <c r="V379" t="s">
        <v>256</v>
      </c>
      <c r="W379">
        <v>18</v>
      </c>
      <c r="X379" s="1" t="s">
        <v>278</v>
      </c>
      <c r="Y379" t="b">
        <v>1</v>
      </c>
    </row>
    <row r="380" spans="17:28" x14ac:dyDescent="0.3">
      <c r="Q380" t="s">
        <v>218</v>
      </c>
      <c r="R380" t="s">
        <v>8</v>
      </c>
      <c r="S380" s="1" t="str">
        <f>MID(Table11[[#This Row],[Monthly plan / 月度计划]],1,2)</f>
        <v>VS</v>
      </c>
      <c r="T380" s="1" t="str">
        <f>MID(Table11[[#This Row],[Monthly plan / 月度计划]],4,4)</f>
        <v>0836</v>
      </c>
      <c r="U380" s="1" t="s">
        <v>206</v>
      </c>
      <c r="V380" t="s">
        <v>253</v>
      </c>
      <c r="W380">
        <v>20</v>
      </c>
      <c r="X380" s="1" t="s">
        <v>279</v>
      </c>
      <c r="Y380" t="b">
        <v>1</v>
      </c>
    </row>
    <row r="381" spans="17:28" x14ac:dyDescent="0.3">
      <c r="Q381" t="s">
        <v>218</v>
      </c>
      <c r="R381" t="s">
        <v>8</v>
      </c>
      <c r="S381" s="1" t="str">
        <f>MID(Table11[[#This Row],[Monthly plan / 月度计划]],1,2)</f>
        <v>VS</v>
      </c>
      <c r="T381" s="1" t="str">
        <f>MID(Table11[[#This Row],[Monthly plan / 月度计划]],4,4)</f>
        <v>0826</v>
      </c>
      <c r="U381" s="1" t="s">
        <v>55</v>
      </c>
      <c r="V381" t="s">
        <v>254</v>
      </c>
      <c r="W381">
        <v>50</v>
      </c>
      <c r="X381" s="1" t="s">
        <v>280</v>
      </c>
      <c r="Y381" t="b">
        <v>1</v>
      </c>
    </row>
    <row r="382" spans="17:28" x14ac:dyDescent="0.3">
      <c r="Q382" t="s">
        <v>218</v>
      </c>
      <c r="R382" t="s">
        <v>8</v>
      </c>
      <c r="S382" s="1" t="str">
        <f>MID(Table11[[#This Row],[Monthly plan / 月度计划]],1,2)</f>
        <v>VS</v>
      </c>
      <c r="T382" s="1" t="str">
        <f>MID(Table11[[#This Row],[Monthly plan / 月度计划]],4,4)</f>
        <v>0866</v>
      </c>
      <c r="U382" s="1" t="s">
        <v>59</v>
      </c>
      <c r="V382" t="s">
        <v>253</v>
      </c>
      <c r="W382">
        <v>30</v>
      </c>
      <c r="X382" s="1" t="s">
        <v>274</v>
      </c>
      <c r="Y382" t="b">
        <v>1</v>
      </c>
    </row>
    <row r="383" spans="17:28" x14ac:dyDescent="0.3">
      <c r="Q383" t="s">
        <v>218</v>
      </c>
      <c r="R383" t="s">
        <v>8</v>
      </c>
      <c r="S383" s="1" t="str">
        <f>MID(Table11[[#This Row],[Monthly plan / 月度计划]],1,2)</f>
        <v>VS</v>
      </c>
      <c r="T383" s="1" t="str">
        <f>MID(Table11[[#This Row],[Monthly plan / 月度计划]],4,4)</f>
        <v>0856</v>
      </c>
      <c r="U383" s="1" t="s">
        <v>58</v>
      </c>
      <c r="V383" t="s">
        <v>254</v>
      </c>
      <c r="W383">
        <v>30</v>
      </c>
      <c r="X383" s="1" t="s">
        <v>281</v>
      </c>
      <c r="Y383" t="b">
        <v>1</v>
      </c>
    </row>
    <row r="384" spans="17:28" x14ac:dyDescent="0.3">
      <c r="Q384" t="s">
        <v>218</v>
      </c>
      <c r="R384" t="s">
        <v>8</v>
      </c>
      <c r="S384" s="1" t="str">
        <f>MID(Table11[[#This Row],[Monthly plan / 月度计划]],1,2)</f>
        <v>VS</v>
      </c>
      <c r="T384" s="1" t="str">
        <f>MID(Table11[[#This Row],[Monthly plan / 月度计划]],4,4)</f>
        <v>0846</v>
      </c>
      <c r="U384" s="1" t="s">
        <v>56</v>
      </c>
      <c r="V384" t="s">
        <v>253</v>
      </c>
      <c r="W384">
        <v>20</v>
      </c>
      <c r="X384" s="1" t="s">
        <v>274</v>
      </c>
      <c r="Y384" t="b">
        <v>1</v>
      </c>
    </row>
    <row r="385" spans="17:28" x14ac:dyDescent="0.3">
      <c r="Q385" t="s">
        <v>218</v>
      </c>
      <c r="R385" t="s">
        <v>8</v>
      </c>
      <c r="S385" s="1" t="str">
        <f>MID(Table11[[#This Row],[Monthly plan / 月度计划]],1,2)</f>
        <v>VS</v>
      </c>
      <c r="T385" s="1" t="str">
        <f>MID(Table11[[#This Row],[Monthly plan / 月度计划]],4,4)</f>
        <v>0855</v>
      </c>
      <c r="U385" s="1" t="s">
        <v>208</v>
      </c>
      <c r="V385" t="s">
        <v>254</v>
      </c>
      <c r="W385">
        <v>20</v>
      </c>
      <c r="X385" s="1" t="s">
        <v>282</v>
      </c>
      <c r="Y385" t="b">
        <v>1</v>
      </c>
    </row>
    <row r="386" spans="17:28" x14ac:dyDescent="0.3">
      <c r="Q386" t="s">
        <v>218</v>
      </c>
      <c r="R386" t="s">
        <v>8</v>
      </c>
      <c r="S386" s="1" t="str">
        <f>MID(Table11[[#This Row],[Monthly plan / 月度计划]],1,2)</f>
        <v>VS</v>
      </c>
      <c r="T386" s="1" t="str">
        <f>MID(Table11[[#This Row],[Monthly plan / 月度计划]],4,4)</f>
        <v>0855</v>
      </c>
      <c r="U386" s="1" t="s">
        <v>228</v>
      </c>
      <c r="V386" t="s">
        <v>254</v>
      </c>
      <c r="W386">
        <v>10</v>
      </c>
      <c r="X386" s="1" t="s">
        <v>282</v>
      </c>
      <c r="Y386" t="b">
        <v>1</v>
      </c>
    </row>
    <row r="387" spans="17:28" x14ac:dyDescent="0.3">
      <c r="Q387" t="s">
        <v>218</v>
      </c>
      <c r="R387" t="s">
        <v>3</v>
      </c>
      <c r="S387" s="1" t="str">
        <f>MID(Table11[[#This Row],[Monthly plan / 月度计划]],1,2)</f>
        <v>YR</v>
      </c>
      <c r="T387" s="1" t="str">
        <f>MID(Table11[[#This Row],[Monthly plan / 月度计划]],4,4)</f>
        <v>1016</v>
      </c>
      <c r="U387" s="1" t="s">
        <v>0</v>
      </c>
      <c r="V387" t="s">
        <v>252</v>
      </c>
      <c r="W387">
        <v>20</v>
      </c>
      <c r="X387" s="1" t="s">
        <v>272</v>
      </c>
      <c r="Y387" t="b">
        <v>1</v>
      </c>
    </row>
    <row r="388" spans="17:28" x14ac:dyDescent="0.3">
      <c r="Q388" t="s">
        <v>218</v>
      </c>
      <c r="R388" t="s">
        <v>3</v>
      </c>
      <c r="S388" s="1" t="str">
        <f>MID(Table11[[#This Row],[Monthly plan / 月度计划]],1,2)</f>
        <v>YR</v>
      </c>
      <c r="T388" s="1" t="str">
        <f>MID(Table11[[#This Row],[Monthly plan / 月度计划]],4,4)</f>
        <v>0986</v>
      </c>
      <c r="U388" s="1" t="s">
        <v>36</v>
      </c>
      <c r="V388" t="s">
        <v>252</v>
      </c>
      <c r="W388">
        <v>60</v>
      </c>
      <c r="X388" s="1" t="s">
        <v>272</v>
      </c>
      <c r="Y388" t="b">
        <v>1</v>
      </c>
    </row>
    <row r="389" spans="17:28" x14ac:dyDescent="0.3">
      <c r="Q389" t="s">
        <v>218</v>
      </c>
      <c r="R389" t="s">
        <v>3</v>
      </c>
      <c r="S389" s="1" t="str">
        <f>MID(Table11[[#This Row],[Monthly plan / 月度计划]],1,2)</f>
        <v>YR</v>
      </c>
      <c r="T389" s="1" t="str">
        <f>MID(Table11[[#This Row],[Monthly plan / 月度计划]],4,4)</f>
        <v>0946</v>
      </c>
      <c r="U389" s="1" t="s">
        <v>32</v>
      </c>
      <c r="V389" t="s">
        <v>252</v>
      </c>
      <c r="W389">
        <v>20</v>
      </c>
      <c r="X389" s="1" t="s">
        <v>272</v>
      </c>
      <c r="Y389" t="b">
        <v>1</v>
      </c>
    </row>
    <row r="390" spans="17:28" x14ac:dyDescent="0.3">
      <c r="Q390" t="s">
        <v>218</v>
      </c>
      <c r="R390" t="s">
        <v>3</v>
      </c>
      <c r="S390" s="1" t="str">
        <f>MID(Table11[[#This Row],[Monthly plan / 月度计划]],1,2)</f>
        <v>YR</v>
      </c>
      <c r="T390" s="1" t="str">
        <f>MID(Table11[[#This Row],[Monthly plan / 月度计划]],4,4)</f>
        <v>0946</v>
      </c>
      <c r="U390" s="1" t="s">
        <v>73</v>
      </c>
      <c r="V390" t="s">
        <v>252</v>
      </c>
      <c r="W390">
        <v>40</v>
      </c>
      <c r="X390" s="1" t="s">
        <v>272</v>
      </c>
      <c r="Y390" t="b">
        <v>1</v>
      </c>
    </row>
    <row r="391" spans="17:28" x14ac:dyDescent="0.3">
      <c r="Q391" t="s">
        <v>218</v>
      </c>
      <c r="R391" t="s">
        <v>3</v>
      </c>
      <c r="S391" s="1" t="str">
        <f>MID(Table11[[#This Row],[Monthly plan / 月度计划]],1,2)</f>
        <v>YR</v>
      </c>
      <c r="T391" s="1" t="str">
        <f>MID(Table11[[#This Row],[Monthly plan / 月度计划]],4,4)</f>
        <v>0906</v>
      </c>
      <c r="U391" s="1" t="s">
        <v>211</v>
      </c>
      <c r="V391" t="s">
        <v>252</v>
      </c>
      <c r="W391">
        <v>40</v>
      </c>
      <c r="X391" s="1" t="s">
        <v>272</v>
      </c>
      <c r="Y391" t="b">
        <v>1</v>
      </c>
    </row>
    <row r="392" spans="17:28" x14ac:dyDescent="0.3">
      <c r="Q392" t="s">
        <v>218</v>
      </c>
      <c r="R392" t="s">
        <v>3</v>
      </c>
      <c r="S392" s="1" t="str">
        <f>MID(Table11[[#This Row],[Monthly plan / 月度计划]],1,2)</f>
        <v>YR</v>
      </c>
      <c r="T392" s="1" t="str">
        <f>MID(Table11[[#This Row],[Monthly plan / 月度计划]],4,4)</f>
        <v>0906</v>
      </c>
      <c r="U392" s="1" t="s">
        <v>212</v>
      </c>
      <c r="V392" t="s">
        <v>252</v>
      </c>
      <c r="W392">
        <v>40</v>
      </c>
      <c r="X392" s="1" t="s">
        <v>272</v>
      </c>
      <c r="Y392" t="b">
        <v>1</v>
      </c>
      <c r="AB392" s="13"/>
    </row>
    <row r="393" spans="17:28" x14ac:dyDescent="0.3">
      <c r="Q393" t="s">
        <v>218</v>
      </c>
      <c r="R393" t="s">
        <v>3</v>
      </c>
      <c r="S393" s="1" t="str">
        <f>MID(Table11[[#This Row],[Monthly plan / 月度计划]],1,2)</f>
        <v>YR</v>
      </c>
      <c r="T393" s="1" t="str">
        <f>MID(Table11[[#This Row],[Monthly plan / 月度计划]],4,4)</f>
        <v>0906</v>
      </c>
      <c r="U393" s="1" t="s">
        <v>213</v>
      </c>
      <c r="V393" t="s">
        <v>252</v>
      </c>
      <c r="W393">
        <v>40</v>
      </c>
      <c r="X393" s="1" t="s">
        <v>272</v>
      </c>
      <c r="Y393" t="b">
        <v>1</v>
      </c>
      <c r="AB393" s="13"/>
    </row>
    <row r="394" spans="17:28" x14ac:dyDescent="0.3">
      <c r="Q394" t="s">
        <v>218</v>
      </c>
      <c r="R394" t="s">
        <v>3</v>
      </c>
      <c r="S394" s="1" t="str">
        <f>MID(Table11[[#This Row],[Monthly plan / 月度计划]],1,2)</f>
        <v>VS</v>
      </c>
      <c r="T394" s="1" t="str">
        <f>MID(Table11[[#This Row],[Monthly plan / 月度计划]],4,4)</f>
        <v>0905</v>
      </c>
      <c r="U394" s="1" t="s">
        <v>18</v>
      </c>
      <c r="V394" t="s">
        <v>252</v>
      </c>
      <c r="W394">
        <v>40</v>
      </c>
      <c r="X394" s="1" t="s">
        <v>272</v>
      </c>
      <c r="Y394" t="b">
        <v>1</v>
      </c>
      <c r="AB394" s="13"/>
    </row>
    <row r="395" spans="17:28" x14ac:dyDescent="0.3">
      <c r="Q395" t="s">
        <v>218</v>
      </c>
      <c r="R395" t="s">
        <v>3</v>
      </c>
      <c r="S395" s="1" t="str">
        <f>MID(Table11[[#This Row],[Monthly plan / 月度计划]],1,2)</f>
        <v>VS</v>
      </c>
      <c r="T395" s="1" t="str">
        <f>MID(Table11[[#This Row],[Monthly plan / 月度计划]],4,4)</f>
        <v>0885</v>
      </c>
      <c r="U395" s="1" t="s">
        <v>25</v>
      </c>
      <c r="V395" t="s">
        <v>252</v>
      </c>
      <c r="W395">
        <v>40</v>
      </c>
      <c r="X395" s="1" t="s">
        <v>272</v>
      </c>
      <c r="Y395" t="b">
        <v>1</v>
      </c>
      <c r="AB395" s="13"/>
    </row>
    <row r="396" spans="17:28" x14ac:dyDescent="0.3">
      <c r="Q396" t="s">
        <v>218</v>
      </c>
      <c r="R396" t="s">
        <v>3</v>
      </c>
      <c r="S396" s="1" t="str">
        <f>MID(Table11[[#This Row],[Monthly plan / 月度计划]],1,2)</f>
        <v>VS</v>
      </c>
      <c r="T396" s="1" t="str">
        <f>MID(Table11[[#This Row],[Monthly plan / 月度计划]],4,4)</f>
        <v>0885</v>
      </c>
      <c r="U396" s="1" t="s">
        <v>24</v>
      </c>
      <c r="V396" t="s">
        <v>252</v>
      </c>
      <c r="W396">
        <v>70</v>
      </c>
      <c r="X396" s="1" t="s">
        <v>272</v>
      </c>
      <c r="Y396" t="b">
        <v>1</v>
      </c>
      <c r="AB396" s="13"/>
    </row>
    <row r="397" spans="17:28" x14ac:dyDescent="0.3">
      <c r="Q397" t="s">
        <v>218</v>
      </c>
      <c r="R397" t="s">
        <v>3</v>
      </c>
      <c r="S397" s="1" t="str">
        <f>MID(Table11[[#This Row],[Monthly plan / 月度计划]],1,2)</f>
        <v>VS</v>
      </c>
      <c r="T397" s="1" t="str">
        <f>MID(Table11[[#This Row],[Monthly plan / 月度计划]],4,4)</f>
        <v>0865</v>
      </c>
      <c r="U397" s="1" t="s">
        <v>229</v>
      </c>
      <c r="V397" t="s">
        <v>252</v>
      </c>
      <c r="W397">
        <v>22</v>
      </c>
      <c r="X397" s="1" t="s">
        <v>272</v>
      </c>
      <c r="Y397" t="b">
        <v>1</v>
      </c>
      <c r="AB397" s="13"/>
    </row>
    <row r="398" spans="17:28" x14ac:dyDescent="0.3">
      <c r="Q398" t="s">
        <v>218</v>
      </c>
      <c r="R398" t="s">
        <v>3</v>
      </c>
      <c r="S398" s="1" t="str">
        <f>MID(Table11[[#This Row],[Monthly plan / 月度计划]],1,2)</f>
        <v>VS</v>
      </c>
      <c r="T398" s="1" t="str">
        <f>MID(Table11[[#This Row],[Monthly plan / 月度计划]],4,4)</f>
        <v>0865</v>
      </c>
      <c r="U398" s="1" t="s">
        <v>230</v>
      </c>
      <c r="V398" t="s">
        <v>252</v>
      </c>
      <c r="W398">
        <v>22</v>
      </c>
      <c r="X398" s="1" t="s">
        <v>272</v>
      </c>
      <c r="Y398" t="b">
        <v>1</v>
      </c>
      <c r="AB398" s="13"/>
    </row>
    <row r="399" spans="17:28" x14ac:dyDescent="0.3">
      <c r="Q399" t="s">
        <v>218</v>
      </c>
      <c r="R399" t="s">
        <v>3</v>
      </c>
      <c r="S399" s="1" t="str">
        <f>MID(Table11[[#This Row],[Monthly plan / 月度计划]],1,2)</f>
        <v>VS</v>
      </c>
      <c r="T399" s="1" t="str">
        <f>MID(Table11[[#This Row],[Monthly plan / 月度计划]],4,4)</f>
        <v>0905</v>
      </c>
      <c r="U399" s="1" t="s">
        <v>19</v>
      </c>
      <c r="V399" t="s">
        <v>252</v>
      </c>
      <c r="W399">
        <v>40</v>
      </c>
      <c r="X399" s="1" t="s">
        <v>272</v>
      </c>
      <c r="Y399" t="b">
        <v>1</v>
      </c>
      <c r="AB399" s="13"/>
    </row>
    <row r="400" spans="17:28" x14ac:dyDescent="0.3">
      <c r="Q400" t="s">
        <v>218</v>
      </c>
      <c r="R400" t="s">
        <v>3</v>
      </c>
      <c r="S400" s="1" t="str">
        <f>MID(Table11[[#This Row],[Monthly plan / 月度计划]],1,2)</f>
        <v>VS</v>
      </c>
      <c r="T400" s="1" t="str">
        <f>MID(Table11[[#This Row],[Monthly plan / 月度计划]],4,4)</f>
        <v>0905</v>
      </c>
      <c r="U400" s="1" t="s">
        <v>15</v>
      </c>
      <c r="V400" t="s">
        <v>252</v>
      </c>
      <c r="W400">
        <v>40</v>
      </c>
      <c r="X400" s="1" t="s">
        <v>272</v>
      </c>
      <c r="Y400" t="b">
        <v>1</v>
      </c>
      <c r="AB400" s="13"/>
    </row>
    <row r="401" spans="17:28" x14ac:dyDescent="0.3">
      <c r="Q401" t="s">
        <v>218</v>
      </c>
      <c r="R401" t="s">
        <v>3</v>
      </c>
      <c r="S401" s="1" t="str">
        <f>MID(Table11[[#This Row],[Monthly plan / 月度计划]],1,2)</f>
        <v>VS</v>
      </c>
      <c r="T401" s="1" t="str">
        <f>MID(Table11[[#This Row],[Monthly plan / 月度计划]],4,4)</f>
        <v>0905</v>
      </c>
      <c r="U401" s="1" t="s">
        <v>14</v>
      </c>
      <c r="V401" t="s">
        <v>252</v>
      </c>
      <c r="W401">
        <v>40</v>
      </c>
      <c r="X401" s="1" t="s">
        <v>272</v>
      </c>
      <c r="Y401" t="b">
        <v>1</v>
      </c>
      <c r="AB401" s="13"/>
    </row>
    <row r="402" spans="17:28" x14ac:dyDescent="0.3">
      <c r="Q402" t="s">
        <v>218</v>
      </c>
      <c r="R402" t="s">
        <v>3</v>
      </c>
      <c r="S402" s="1" t="str">
        <f>MID(Table11[[#This Row],[Monthly plan / 月度计划]],1,2)</f>
        <v>YR</v>
      </c>
      <c r="T402" s="1" t="str">
        <f>MID(Table11[[#This Row],[Monthly plan / 月度计划]],4,4)</f>
        <v>0966</v>
      </c>
      <c r="U402" s="1" t="s">
        <v>231</v>
      </c>
      <c r="V402" t="s">
        <v>254</v>
      </c>
      <c r="W402">
        <v>5</v>
      </c>
      <c r="X402" s="1" t="s">
        <v>288</v>
      </c>
      <c r="Y402" t="b">
        <v>1</v>
      </c>
      <c r="AB402" s="13"/>
    </row>
    <row r="403" spans="17:28" x14ac:dyDescent="0.3">
      <c r="Q403" t="s">
        <v>218</v>
      </c>
      <c r="R403" t="s">
        <v>3</v>
      </c>
      <c r="S403" s="1" t="str">
        <f>MID(Table11[[#This Row],[Monthly plan / 月度计划]],1,2)</f>
        <v>YR</v>
      </c>
      <c r="T403" s="1" t="str">
        <f>MID(Table11[[#This Row],[Monthly plan / 月度计划]],4,4)</f>
        <v>0886</v>
      </c>
      <c r="U403" s="1" t="s">
        <v>214</v>
      </c>
      <c r="V403" t="s">
        <v>253</v>
      </c>
      <c r="W403">
        <v>40</v>
      </c>
      <c r="X403" s="1" t="s">
        <v>287</v>
      </c>
      <c r="Y403" t="b">
        <v>1</v>
      </c>
      <c r="AB403" s="13"/>
    </row>
    <row r="404" spans="17:28" x14ac:dyDescent="0.3">
      <c r="Q404" t="s">
        <v>218</v>
      </c>
      <c r="R404" t="s">
        <v>3</v>
      </c>
      <c r="S404" s="1" t="str">
        <f>MID(Table11[[#This Row],[Monthly plan / 月度计划]],1,2)</f>
        <v>YR</v>
      </c>
      <c r="T404" s="1" t="str">
        <f>MID(Table11[[#This Row],[Monthly plan / 月度计划]],4,4)</f>
        <v>0876</v>
      </c>
      <c r="U404" s="1" t="s">
        <v>39</v>
      </c>
      <c r="V404" t="s">
        <v>255</v>
      </c>
      <c r="W404">
        <v>7</v>
      </c>
      <c r="X404" s="1" t="s">
        <v>273</v>
      </c>
      <c r="Y404" t="b">
        <v>1</v>
      </c>
    </row>
    <row r="405" spans="17:28" x14ac:dyDescent="0.3">
      <c r="Q405" t="s">
        <v>218</v>
      </c>
      <c r="R405" t="s">
        <v>3</v>
      </c>
      <c r="S405" s="1" t="str">
        <f>MID(Table11[[#This Row],[Monthly plan / 月度计划]],1,2)</f>
        <v>YR</v>
      </c>
      <c r="T405" s="1" t="str">
        <f>MID(Table11[[#This Row],[Monthly plan / 月度计划]],4,4)</f>
        <v>0876</v>
      </c>
      <c r="U405" s="1" t="s">
        <v>215</v>
      </c>
      <c r="V405" t="s">
        <v>254</v>
      </c>
      <c r="W405">
        <v>8</v>
      </c>
      <c r="X405" s="1" t="s">
        <v>273</v>
      </c>
      <c r="Y405" t="b">
        <v>1</v>
      </c>
    </row>
    <row r="406" spans="17:28" x14ac:dyDescent="0.3">
      <c r="Q406" t="s">
        <v>218</v>
      </c>
      <c r="R406" t="s">
        <v>3</v>
      </c>
      <c r="S406" s="1" t="str">
        <f>MID(Table11[[#This Row],[Monthly plan / 月度计划]],1,2)</f>
        <v>YR</v>
      </c>
      <c r="T406" s="1" t="str">
        <f>MID(Table11[[#This Row],[Monthly plan / 月度计划]],4,4)</f>
        <v>0846</v>
      </c>
      <c r="U406" s="1" t="s">
        <v>216</v>
      </c>
      <c r="V406" t="s">
        <v>254</v>
      </c>
      <c r="W406">
        <v>50</v>
      </c>
      <c r="X406" s="1" t="s">
        <v>280</v>
      </c>
      <c r="Y406" t="b">
        <v>1</v>
      </c>
    </row>
    <row r="407" spans="17:28" x14ac:dyDescent="0.3">
      <c r="Q407" t="s">
        <v>218</v>
      </c>
      <c r="R407" t="s">
        <v>3</v>
      </c>
      <c r="S407" s="1" t="str">
        <f>MID(Table11[[#This Row],[Monthly plan / 月度计划]],1,2)</f>
        <v>YR</v>
      </c>
      <c r="T407" s="1" t="str">
        <f>MID(Table11[[#This Row],[Monthly plan / 月度计划]],4,4)</f>
        <v>0886</v>
      </c>
      <c r="U407" s="1" t="s">
        <v>41</v>
      </c>
      <c r="V407" t="s">
        <v>253</v>
      </c>
      <c r="W407">
        <v>3</v>
      </c>
      <c r="X407" s="1" t="s">
        <v>274</v>
      </c>
      <c r="Y407" t="b">
        <v>1</v>
      </c>
    </row>
    <row r="408" spans="17:28" ht="14.4" customHeight="1" x14ac:dyDescent="0.3">
      <c r="Q408" t="s">
        <v>218</v>
      </c>
      <c r="R408" t="s">
        <v>3</v>
      </c>
      <c r="S408" s="1" t="str">
        <f>MID(Table11[[#This Row],[Monthly plan / 月度计划]],1,2)</f>
        <v>YR</v>
      </c>
      <c r="T408" s="1" t="str">
        <f>MID(Table11[[#This Row],[Monthly plan / 月度计划]],4,4)</f>
        <v>0866</v>
      </c>
      <c r="U408" s="1" t="s">
        <v>232</v>
      </c>
      <c r="V408" t="s">
        <v>254</v>
      </c>
      <c r="W408">
        <v>20</v>
      </c>
      <c r="X408" s="1" t="s">
        <v>279</v>
      </c>
      <c r="Y408" t="b">
        <v>1</v>
      </c>
      <c r="AB408" s="13"/>
    </row>
    <row r="409" spans="17:28" ht="14.4" customHeight="1" x14ac:dyDescent="0.3">
      <c r="Q409" t="s">
        <v>218</v>
      </c>
      <c r="R409" t="s">
        <v>3</v>
      </c>
      <c r="S409" s="1" t="str">
        <f>MID(Table11[[#This Row],[Monthly plan / 月度计划]],1,2)</f>
        <v>YR</v>
      </c>
      <c r="T409" s="1" t="str">
        <f>MID(Table11[[#This Row],[Monthly plan / 月度计划]],4,4)</f>
        <v>0906</v>
      </c>
      <c r="U409" s="1" t="s">
        <v>43</v>
      </c>
      <c r="V409" t="s">
        <v>253</v>
      </c>
      <c r="W409">
        <v>20</v>
      </c>
      <c r="X409" s="1" t="s">
        <v>274</v>
      </c>
      <c r="Y409" t="b">
        <v>1</v>
      </c>
      <c r="AB409" s="13"/>
    </row>
    <row r="410" spans="17:28" ht="15" customHeight="1" x14ac:dyDescent="0.3">
      <c r="Q410" t="s">
        <v>218</v>
      </c>
      <c r="R410" t="s">
        <v>3</v>
      </c>
      <c r="S410" s="1" t="str">
        <f>MID(Table11[[#This Row],[Monthly plan / 月度计划]],1,2)</f>
        <v>VS</v>
      </c>
      <c r="T410" s="1" t="str">
        <f>MID(Table11[[#This Row],[Monthly plan / 月度计划]],4,4)</f>
        <v>0965</v>
      </c>
      <c r="U410" s="1" t="s">
        <v>233</v>
      </c>
      <c r="V410" t="s">
        <v>254</v>
      </c>
      <c r="W410">
        <v>5</v>
      </c>
      <c r="X410" s="1" t="s">
        <v>275</v>
      </c>
      <c r="Y410" t="b">
        <v>1</v>
      </c>
      <c r="AB410" s="13"/>
    </row>
    <row r="411" spans="17:28" x14ac:dyDescent="0.3">
      <c r="Q411" t="s">
        <v>218</v>
      </c>
      <c r="R411" t="s">
        <v>3</v>
      </c>
      <c r="S411" s="1" t="str">
        <f>MID(Table11[[#This Row],[Monthly plan / 月度计划]],1,2)</f>
        <v>VS</v>
      </c>
      <c r="T411" s="1" t="str">
        <f>MID(Table11[[#This Row],[Monthly plan / 月度计划]],4,4)</f>
        <v>0905</v>
      </c>
      <c r="U411" s="1" t="s">
        <v>28</v>
      </c>
      <c r="V411" t="s">
        <v>254</v>
      </c>
      <c r="W411">
        <v>5</v>
      </c>
      <c r="X411" s="1" t="s">
        <v>275</v>
      </c>
      <c r="Y411" t="b">
        <v>1</v>
      </c>
    </row>
    <row r="412" spans="17:28" x14ac:dyDescent="0.3">
      <c r="Q412" t="s">
        <v>218</v>
      </c>
      <c r="R412" t="s">
        <v>3</v>
      </c>
      <c r="S412" s="1" t="str">
        <f>MID(Table11[[#This Row],[Monthly plan / 月度计划]],1,2)</f>
        <v>VS</v>
      </c>
      <c r="T412" s="1" t="str">
        <f>MID(Table11[[#This Row],[Monthly plan / 月度计划]],4,4)</f>
        <v>0865</v>
      </c>
      <c r="U412" s="1" t="s">
        <v>21</v>
      </c>
      <c r="V412" t="s">
        <v>253</v>
      </c>
      <c r="W412">
        <v>40</v>
      </c>
      <c r="X412" s="1" t="s">
        <v>274</v>
      </c>
      <c r="Y412" t="b">
        <v>1</v>
      </c>
    </row>
    <row r="413" spans="17:28" x14ac:dyDescent="0.3">
      <c r="Q413" t="s">
        <v>218</v>
      </c>
      <c r="R413" t="s">
        <v>3</v>
      </c>
      <c r="S413" s="1" t="str">
        <f>MID(Table11[[#This Row],[Monthly plan / 月度计划]],1,2)</f>
        <v>VS</v>
      </c>
      <c r="T413" s="1" t="str">
        <f>MID(Table11[[#This Row],[Monthly plan / 月度计划]],4,4)</f>
        <v>0865</v>
      </c>
      <c r="U413" s="1" t="s">
        <v>217</v>
      </c>
      <c r="V413" t="s">
        <v>256</v>
      </c>
      <c r="W413">
        <v>18</v>
      </c>
      <c r="X413" s="1" t="s">
        <v>278</v>
      </c>
      <c r="Y413" t="b">
        <v>1</v>
      </c>
    </row>
    <row r="414" spans="17:28" x14ac:dyDescent="0.3">
      <c r="Q414" t="s">
        <v>218</v>
      </c>
      <c r="R414" t="s">
        <v>3</v>
      </c>
      <c r="S414" s="1" t="str">
        <f>MID(Table11[[#This Row],[Monthly plan / 月度计划]],1,2)</f>
        <v>VS</v>
      </c>
      <c r="T414" s="1" t="str">
        <f>MID(Table11[[#This Row],[Monthly plan / 月度计划]],4,4)</f>
        <v>0845</v>
      </c>
      <c r="U414" s="1" t="s">
        <v>20</v>
      </c>
      <c r="V414" t="s">
        <v>254</v>
      </c>
      <c r="W414">
        <v>50</v>
      </c>
      <c r="X414" s="1" t="s">
        <v>280</v>
      </c>
      <c r="Y414" t="b">
        <v>1</v>
      </c>
    </row>
    <row r="415" spans="17:28" x14ac:dyDescent="0.3">
      <c r="Q415" t="s">
        <v>218</v>
      </c>
      <c r="R415" t="s">
        <v>3</v>
      </c>
      <c r="S415" s="1" t="str">
        <f>MID(Table11[[#This Row],[Monthly plan / 月度计划]],1,2)</f>
        <v>VS</v>
      </c>
      <c r="T415" s="1" t="str">
        <f>MID(Table11[[#This Row],[Monthly plan / 月度计划]],4,4)</f>
        <v>0865</v>
      </c>
      <c r="U415" s="1" t="s">
        <v>22</v>
      </c>
      <c r="V415" t="s">
        <v>253</v>
      </c>
      <c r="W415">
        <v>50</v>
      </c>
      <c r="X415" s="1" t="s">
        <v>274</v>
      </c>
      <c r="Y415" t="b">
        <v>1</v>
      </c>
    </row>
    <row r="416" spans="17:28" x14ac:dyDescent="0.3">
      <c r="Q416" t="s">
        <v>218</v>
      </c>
      <c r="R416" t="s">
        <v>3</v>
      </c>
      <c r="S416" s="1" t="str">
        <f>MID(Table11[[#This Row],[Monthly plan / 月度计划]],1,2)</f>
        <v>VS</v>
      </c>
      <c r="T416" s="1" t="str">
        <f>MID(Table11[[#This Row],[Monthly plan / 月度计划]],4,4)</f>
        <v>0905</v>
      </c>
      <c r="U416" s="1" t="s">
        <v>234</v>
      </c>
      <c r="V416" t="s">
        <v>253</v>
      </c>
      <c r="W416">
        <v>17</v>
      </c>
      <c r="X416" s="1" t="s">
        <v>273</v>
      </c>
      <c r="Y416" t="b">
        <v>1</v>
      </c>
    </row>
    <row r="417" spans="17:28" x14ac:dyDescent="0.3">
      <c r="Q417" t="s">
        <v>218</v>
      </c>
      <c r="R417" t="s">
        <v>3</v>
      </c>
      <c r="S417" s="1" t="str">
        <f>MID(Table11[[#This Row],[Monthly plan / 月度计划]],1,2)</f>
        <v>VS</v>
      </c>
      <c r="T417" s="1" t="str">
        <f>MID(Table11[[#This Row],[Monthly plan / 月度计划]],4,4)</f>
        <v>0885</v>
      </c>
      <c r="U417" s="1" t="s">
        <v>26</v>
      </c>
      <c r="V417" t="s">
        <v>253</v>
      </c>
      <c r="W417">
        <v>30</v>
      </c>
      <c r="X417" s="1" t="s">
        <v>274</v>
      </c>
      <c r="Y417" t="b">
        <v>1</v>
      </c>
    </row>
    <row r="418" spans="17:28" x14ac:dyDescent="0.3">
      <c r="Q418" t="s">
        <v>218</v>
      </c>
      <c r="R418" t="s">
        <v>3</v>
      </c>
      <c r="S418" s="1" t="str">
        <f>MID(Table11[[#This Row],[Monthly plan / 月度计划]],1,2)</f>
        <v>VS</v>
      </c>
      <c r="T418" s="1" t="str">
        <f>MID(Table11[[#This Row],[Monthly plan / 月度计划]],4,4)</f>
        <v>0885</v>
      </c>
      <c r="U418" s="1" t="s">
        <v>235</v>
      </c>
      <c r="V418" t="s">
        <v>254</v>
      </c>
      <c r="W418">
        <v>12</v>
      </c>
      <c r="X418" s="1" t="s">
        <v>289</v>
      </c>
      <c r="Y418" t="b">
        <v>1</v>
      </c>
    </row>
    <row r="419" spans="17:28" x14ac:dyDescent="0.3">
      <c r="Q419" t="s">
        <v>241</v>
      </c>
      <c r="R419" t="s">
        <v>8</v>
      </c>
      <c r="S419" s="1" t="str">
        <f>MID(Table11[[#This Row],[Monthly plan / 月度计划]],1,2)</f>
        <v>VS</v>
      </c>
      <c r="T419" s="1" t="str">
        <f>MID(Table11[[#This Row],[Monthly plan / 月度计划]],4,4)</f>
        <v>1000</v>
      </c>
      <c r="U419" s="1" t="s">
        <v>6</v>
      </c>
      <c r="V419" t="s">
        <v>252</v>
      </c>
      <c r="W419">
        <v>50</v>
      </c>
      <c r="X419" s="1" t="s">
        <v>272</v>
      </c>
      <c r="Y419" t="b">
        <v>1</v>
      </c>
      <c r="AB419" s="13"/>
    </row>
    <row r="420" spans="17:28" x14ac:dyDescent="0.3">
      <c r="Q420" t="s">
        <v>241</v>
      </c>
      <c r="R420" t="s">
        <v>8</v>
      </c>
      <c r="S420" s="1" t="str">
        <f>MID(Table11[[#This Row],[Monthly plan / 月度计划]],1,2)</f>
        <v>VS</v>
      </c>
      <c r="T420" s="1" t="str">
        <f>MID(Table11[[#This Row],[Monthly plan / 月度计划]],4,4)</f>
        <v>0926</v>
      </c>
      <c r="U420" s="1" t="s">
        <v>47</v>
      </c>
      <c r="V420" t="s">
        <v>252</v>
      </c>
      <c r="W420">
        <v>40</v>
      </c>
      <c r="X420" s="1" t="s">
        <v>272</v>
      </c>
      <c r="Y420" t="b">
        <v>1</v>
      </c>
      <c r="AB420" s="13"/>
    </row>
    <row r="421" spans="17:28" x14ac:dyDescent="0.3">
      <c r="Q421" t="s">
        <v>241</v>
      </c>
      <c r="R421" t="s">
        <v>8</v>
      </c>
      <c r="S421" s="1" t="str">
        <f>MID(Table11[[#This Row],[Monthly plan / 月度计划]],1,2)</f>
        <v>VS</v>
      </c>
      <c r="T421" s="1" t="str">
        <f>MID(Table11[[#This Row],[Monthly plan / 月度计划]],4,4)</f>
        <v>0866</v>
      </c>
      <c r="U421" s="1" t="s">
        <v>45</v>
      </c>
      <c r="V421" t="s">
        <v>252</v>
      </c>
      <c r="W421">
        <v>70</v>
      </c>
      <c r="X421" s="1" t="s">
        <v>272</v>
      </c>
      <c r="Y421" t="b">
        <v>1</v>
      </c>
      <c r="AB421" s="13"/>
    </row>
    <row r="422" spans="17:28" x14ac:dyDescent="0.3">
      <c r="Q422" t="s">
        <v>241</v>
      </c>
      <c r="R422" t="s">
        <v>8</v>
      </c>
      <c r="S422" s="1" t="str">
        <f>MID(Table11[[#This Row],[Monthly plan / 月度计划]],1,2)</f>
        <v>VS</v>
      </c>
      <c r="T422" s="1" t="str">
        <f>MID(Table11[[#This Row],[Monthly plan / 月度计划]],4,4)</f>
        <v>0866</v>
      </c>
      <c r="U422" s="1" t="s">
        <v>53</v>
      </c>
      <c r="V422" t="s">
        <v>252</v>
      </c>
      <c r="W422">
        <v>70</v>
      </c>
      <c r="X422" s="1" t="s">
        <v>272</v>
      </c>
      <c r="Y422" t="b">
        <v>1</v>
      </c>
      <c r="AB422" s="13"/>
    </row>
    <row r="423" spans="17:28" x14ac:dyDescent="0.3">
      <c r="Q423" t="s">
        <v>241</v>
      </c>
      <c r="R423" t="s">
        <v>8</v>
      </c>
      <c r="S423" s="1" t="str">
        <f>MID(Table11[[#This Row],[Monthly plan / 月度计划]],1,2)</f>
        <v>VS</v>
      </c>
      <c r="T423" s="1" t="str">
        <f>MID(Table11[[#This Row],[Monthly plan / 月度计划]],4,4)</f>
        <v>0986</v>
      </c>
      <c r="U423" s="1" t="s">
        <v>51</v>
      </c>
      <c r="V423" t="s">
        <v>252</v>
      </c>
      <c r="W423">
        <v>30</v>
      </c>
      <c r="X423" s="1" t="s">
        <v>272</v>
      </c>
      <c r="Y423" t="b">
        <v>1</v>
      </c>
      <c r="AA423" s="11"/>
      <c r="AB423" s="14"/>
    </row>
    <row r="424" spans="17:28" x14ac:dyDescent="0.3">
      <c r="Q424" t="s">
        <v>241</v>
      </c>
      <c r="R424" t="s">
        <v>8</v>
      </c>
      <c r="S424" s="1" t="str">
        <f>MID(Table11[[#This Row],[Monthly plan / 月度计划]],1,2)</f>
        <v>VS</v>
      </c>
      <c r="T424" s="1" t="str">
        <f>MID(Table11[[#This Row],[Monthly plan / 月度计划]],4,4)</f>
        <v>0986</v>
      </c>
      <c r="U424" s="1" t="s">
        <v>50</v>
      </c>
      <c r="V424" t="s">
        <v>252</v>
      </c>
      <c r="W424">
        <v>30</v>
      </c>
      <c r="X424" s="1" t="s">
        <v>272</v>
      </c>
      <c r="Y424" t="b">
        <v>1</v>
      </c>
      <c r="AA424" s="12"/>
      <c r="AB424" s="14"/>
    </row>
    <row r="425" spans="17:28" x14ac:dyDescent="0.3">
      <c r="Q425" t="s">
        <v>241</v>
      </c>
      <c r="R425" t="s">
        <v>8</v>
      </c>
      <c r="S425" s="1" t="str">
        <f>MID(Table11[[#This Row],[Monthly plan / 月度计划]],1,2)</f>
        <v>VS</v>
      </c>
      <c r="T425" s="1" t="str">
        <f>MID(Table11[[#This Row],[Monthly plan / 月度计划]],4,4)</f>
        <v>0966</v>
      </c>
      <c r="U425" s="1" t="s">
        <v>94</v>
      </c>
      <c r="V425" t="s">
        <v>252</v>
      </c>
      <c r="W425">
        <v>30</v>
      </c>
      <c r="X425" s="1" t="s">
        <v>272</v>
      </c>
      <c r="Y425" t="b">
        <v>1</v>
      </c>
      <c r="AA425" s="12"/>
      <c r="AB425" s="14"/>
    </row>
    <row r="426" spans="17:28" x14ac:dyDescent="0.3">
      <c r="Q426" t="s">
        <v>241</v>
      </c>
      <c r="R426" t="s">
        <v>8</v>
      </c>
      <c r="S426" s="1" t="str">
        <f>MID(Table11[[#This Row],[Monthly plan / 月度计划]],1,2)</f>
        <v>VS</v>
      </c>
      <c r="T426" s="1" t="str">
        <f>MID(Table11[[#This Row],[Monthly plan / 月度计划]],4,4)</f>
        <v>0946</v>
      </c>
      <c r="U426" s="1" t="s">
        <v>219</v>
      </c>
      <c r="V426" t="s">
        <v>252</v>
      </c>
      <c r="W426">
        <v>40</v>
      </c>
      <c r="X426" s="1" t="s">
        <v>272</v>
      </c>
      <c r="Y426" t="b">
        <v>1</v>
      </c>
      <c r="AA426" s="12"/>
      <c r="AB426" s="14"/>
    </row>
    <row r="427" spans="17:28" x14ac:dyDescent="0.3">
      <c r="Q427" t="s">
        <v>241</v>
      </c>
      <c r="R427" t="s">
        <v>8</v>
      </c>
      <c r="S427" s="1" t="str">
        <f>MID(Table11[[#This Row],[Monthly plan / 月度计划]],1,2)</f>
        <v>VS</v>
      </c>
      <c r="T427" s="1" t="str">
        <f>MID(Table11[[#This Row],[Monthly plan / 月度计划]],4,4)</f>
        <v>0946</v>
      </c>
      <c r="U427" s="1" t="s">
        <v>220</v>
      </c>
      <c r="V427" t="s">
        <v>252</v>
      </c>
      <c r="W427">
        <v>30</v>
      </c>
      <c r="X427" s="1" t="s">
        <v>272</v>
      </c>
      <c r="Y427" t="b">
        <v>1</v>
      </c>
      <c r="AA427" s="12"/>
      <c r="AB427" s="14"/>
    </row>
    <row r="428" spans="17:28" x14ac:dyDescent="0.3">
      <c r="Q428" t="s">
        <v>241</v>
      </c>
      <c r="R428" t="s">
        <v>8</v>
      </c>
      <c r="S428" s="1" t="str">
        <f>MID(Table11[[#This Row],[Monthly plan / 月度计划]],1,2)</f>
        <v>VS</v>
      </c>
      <c r="T428" s="1" t="str">
        <f>MID(Table11[[#This Row],[Monthly plan / 月度计划]],4,4)</f>
        <v>0946</v>
      </c>
      <c r="U428" s="1" t="s">
        <v>221</v>
      </c>
      <c r="V428" t="s">
        <v>252</v>
      </c>
      <c r="W428">
        <v>30</v>
      </c>
      <c r="X428" s="1" t="s">
        <v>272</v>
      </c>
      <c r="Y428" t="b">
        <v>1</v>
      </c>
      <c r="AA428" s="12"/>
      <c r="AB428" s="14"/>
    </row>
    <row r="429" spans="17:28" x14ac:dyDescent="0.3">
      <c r="Q429" t="s">
        <v>241</v>
      </c>
      <c r="R429" t="s">
        <v>8</v>
      </c>
      <c r="S429" s="1" t="str">
        <f>MID(Table11[[#This Row],[Monthly plan / 月度计划]],1,2)</f>
        <v>VS</v>
      </c>
      <c r="T429" s="1" t="str">
        <f>MID(Table11[[#This Row],[Monthly plan / 月度计划]],4,4)</f>
        <v>0946</v>
      </c>
      <c r="U429" s="1" t="s">
        <v>222</v>
      </c>
      <c r="V429" t="s">
        <v>252</v>
      </c>
      <c r="W429">
        <v>30</v>
      </c>
      <c r="X429" s="1" t="s">
        <v>272</v>
      </c>
      <c r="Y429" t="b">
        <v>1</v>
      </c>
      <c r="AA429" s="12"/>
      <c r="AB429" s="14"/>
    </row>
    <row r="430" spans="17:28" x14ac:dyDescent="0.3">
      <c r="Q430" t="s">
        <v>241</v>
      </c>
      <c r="R430" t="s">
        <v>8</v>
      </c>
      <c r="S430" s="1" t="str">
        <f>MID(Table11[[#This Row],[Monthly plan / 月度计划]],1,2)</f>
        <v>VS</v>
      </c>
      <c r="T430" s="1" t="str">
        <f>MID(Table11[[#This Row],[Monthly plan / 月度计划]],4,4)</f>
        <v>0946</v>
      </c>
      <c r="U430" s="1" t="s">
        <v>223</v>
      </c>
      <c r="V430" t="s">
        <v>252</v>
      </c>
      <c r="W430">
        <v>30</v>
      </c>
      <c r="X430" s="1" t="s">
        <v>272</v>
      </c>
      <c r="Y430" t="b">
        <v>1</v>
      </c>
      <c r="AA430" s="12"/>
      <c r="AB430" s="14"/>
    </row>
    <row r="431" spans="17:28" x14ac:dyDescent="0.3">
      <c r="Q431" t="s">
        <v>241</v>
      </c>
      <c r="R431" t="s">
        <v>8</v>
      </c>
      <c r="S431" s="1" t="str">
        <f>MID(Table11[[#This Row],[Monthly plan / 月度计划]],1,2)</f>
        <v>VS</v>
      </c>
      <c r="T431" s="1" t="str">
        <f>MID(Table11[[#This Row],[Monthly plan / 月度计划]],4,4)</f>
        <v>0946</v>
      </c>
      <c r="U431" s="1" t="s">
        <v>224</v>
      </c>
      <c r="V431" t="s">
        <v>252</v>
      </c>
      <c r="W431">
        <v>40</v>
      </c>
      <c r="X431" s="1" t="s">
        <v>272</v>
      </c>
      <c r="Y431" t="b">
        <v>1</v>
      </c>
      <c r="AA431" s="12"/>
      <c r="AB431" s="14"/>
    </row>
    <row r="432" spans="17:28" x14ac:dyDescent="0.3">
      <c r="Q432" t="s">
        <v>241</v>
      </c>
      <c r="R432" t="s">
        <v>8</v>
      </c>
      <c r="S432" s="1" t="str">
        <f>MID(Table11[[#This Row],[Monthly plan / 月度计划]],1,2)</f>
        <v>VS</v>
      </c>
      <c r="T432" s="1" t="str">
        <f>MID(Table11[[#This Row],[Monthly plan / 月度计划]],4,4)</f>
        <v>1015</v>
      </c>
      <c r="U432" s="1" t="s">
        <v>5</v>
      </c>
      <c r="V432" t="s">
        <v>252</v>
      </c>
      <c r="W432">
        <v>20</v>
      </c>
      <c r="X432" s="1" t="s">
        <v>272</v>
      </c>
      <c r="Y432" t="b">
        <v>1</v>
      </c>
      <c r="AA432" s="11"/>
      <c r="AB432" s="14"/>
    </row>
    <row r="433" spans="16:28" x14ac:dyDescent="0.3">
      <c r="Q433" t="s">
        <v>241</v>
      </c>
      <c r="R433" t="s">
        <v>8</v>
      </c>
      <c r="S433" s="1" t="str">
        <f>MID(Table11[[#This Row],[Monthly plan / 月度计划]],1,2)</f>
        <v>VS</v>
      </c>
      <c r="T433" s="1" t="str">
        <f>MID(Table11[[#This Row],[Monthly plan / 月度计划]],4,4)</f>
        <v>1000</v>
      </c>
      <c r="U433" s="1" t="s">
        <v>242</v>
      </c>
      <c r="V433" t="s">
        <v>252</v>
      </c>
      <c r="W433">
        <v>15</v>
      </c>
      <c r="X433" s="1" t="s">
        <v>272</v>
      </c>
      <c r="Y433" t="b">
        <v>1</v>
      </c>
      <c r="AA433" s="12"/>
      <c r="AB433" s="14"/>
    </row>
    <row r="434" spans="16:28" x14ac:dyDescent="0.3">
      <c r="Q434" t="s">
        <v>241</v>
      </c>
      <c r="R434" t="s">
        <v>8</v>
      </c>
      <c r="S434" s="1" t="str">
        <f>MID(Table11[[#This Row],[Monthly plan / 月度计划]],1,2)</f>
        <v>VS</v>
      </c>
      <c r="T434" s="1" t="str">
        <f>MID(Table11[[#This Row],[Monthly plan / 月度计划]],4,4)</f>
        <v>0906</v>
      </c>
      <c r="U434" s="1" t="s">
        <v>203</v>
      </c>
      <c r="V434" t="s">
        <v>252</v>
      </c>
      <c r="W434">
        <v>40</v>
      </c>
      <c r="X434" s="1" t="s">
        <v>272</v>
      </c>
      <c r="Y434" t="b">
        <v>1</v>
      </c>
      <c r="AA434" s="12"/>
      <c r="AB434" s="14"/>
    </row>
    <row r="435" spans="16:28" x14ac:dyDescent="0.3">
      <c r="Q435" t="s">
        <v>241</v>
      </c>
      <c r="R435" t="s">
        <v>8</v>
      </c>
      <c r="S435" s="1" t="str">
        <f>MID(Table11[[#This Row],[Monthly plan / 月度计划]],1,2)</f>
        <v>VS</v>
      </c>
      <c r="T435" s="1" t="str">
        <f>MID(Table11[[#This Row],[Monthly plan / 月度计划]],4,4)</f>
        <v>0906</v>
      </c>
      <c r="U435" s="1" t="s">
        <v>225</v>
      </c>
      <c r="V435" t="s">
        <v>252</v>
      </c>
      <c r="W435">
        <v>30</v>
      </c>
      <c r="X435" s="1" t="s">
        <v>272</v>
      </c>
      <c r="Y435" t="b">
        <v>1</v>
      </c>
      <c r="AA435" s="12"/>
      <c r="AB435" s="14"/>
    </row>
    <row r="436" spans="16:28" x14ac:dyDescent="0.3">
      <c r="Q436" t="s">
        <v>241</v>
      </c>
      <c r="R436" t="s">
        <v>8</v>
      </c>
      <c r="S436" s="1" t="str">
        <f>MID(Table11[[#This Row],[Monthly plan / 月度计划]],1,2)</f>
        <v>VS</v>
      </c>
      <c r="T436" s="1" t="str">
        <f>MID(Table11[[#This Row],[Monthly plan / 月度计划]],4,4)</f>
        <v>0906</v>
      </c>
      <c r="U436" s="1" t="s">
        <v>226</v>
      </c>
      <c r="V436" t="s">
        <v>252</v>
      </c>
      <c r="W436">
        <v>40</v>
      </c>
      <c r="X436" s="1" t="s">
        <v>272</v>
      </c>
      <c r="Y436" t="b">
        <v>1</v>
      </c>
      <c r="AA436" s="12"/>
      <c r="AB436" s="14"/>
    </row>
    <row r="437" spans="16:28" x14ac:dyDescent="0.3">
      <c r="Q437" t="s">
        <v>241</v>
      </c>
      <c r="R437" t="s">
        <v>8</v>
      </c>
      <c r="S437" s="1" t="str">
        <f>MID(Table11[[#This Row],[Monthly plan / 月度计划]],1,2)</f>
        <v>YR</v>
      </c>
      <c r="T437" s="1" t="str">
        <f>MID(Table11[[#This Row],[Monthly plan / 月度计划]],4,4)</f>
        <v>0926</v>
      </c>
      <c r="U437" s="1" t="s">
        <v>44</v>
      </c>
      <c r="V437" t="s">
        <v>252</v>
      </c>
      <c r="W437">
        <v>40</v>
      </c>
      <c r="X437" s="1" t="s">
        <v>272</v>
      </c>
      <c r="Y437" t="b">
        <v>1</v>
      </c>
      <c r="AA437" s="12"/>
      <c r="AB437" s="14"/>
    </row>
    <row r="438" spans="16:28" x14ac:dyDescent="0.3">
      <c r="Q438" t="s">
        <v>241</v>
      </c>
      <c r="R438" t="s">
        <v>8</v>
      </c>
      <c r="S438" s="1" t="str">
        <f>MID(Table11[[#This Row],[Monthly plan / 月度计划]],1,2)</f>
        <v>VS</v>
      </c>
      <c r="T438" s="1" t="str">
        <f>MID(Table11[[#This Row],[Monthly plan / 月度计划]],4,4)</f>
        <v>1015</v>
      </c>
      <c r="U438" s="1" t="s">
        <v>243</v>
      </c>
      <c r="V438" t="s">
        <v>253</v>
      </c>
      <c r="W438">
        <v>12</v>
      </c>
      <c r="X438" s="1" t="s">
        <v>273</v>
      </c>
      <c r="Y438" t="b">
        <v>1</v>
      </c>
      <c r="AA438" s="12"/>
      <c r="AB438" s="14"/>
    </row>
    <row r="439" spans="16:28" x14ac:dyDescent="0.3">
      <c r="Q439" t="s">
        <v>241</v>
      </c>
      <c r="R439" t="s">
        <v>8</v>
      </c>
      <c r="S439" s="1" t="str">
        <f>MID(Table11[[#This Row],[Monthly plan / 月度计划]],1,2)</f>
        <v>VS</v>
      </c>
      <c r="T439" s="1" t="str">
        <f>MID(Table11[[#This Row],[Monthly plan / 月度计划]],4,4)</f>
        <v>0946</v>
      </c>
      <c r="U439" s="1" t="s">
        <v>64</v>
      </c>
      <c r="V439" t="s">
        <v>253</v>
      </c>
      <c r="W439">
        <v>60</v>
      </c>
      <c r="X439" s="1" t="s">
        <v>274</v>
      </c>
      <c r="Y439" t="b">
        <v>1</v>
      </c>
      <c r="AA439" s="12"/>
      <c r="AB439" s="14"/>
    </row>
    <row r="440" spans="16:28" x14ac:dyDescent="0.3">
      <c r="P440" s="1"/>
      <c r="Q440" t="s">
        <v>241</v>
      </c>
      <c r="R440" t="s">
        <v>8</v>
      </c>
      <c r="S440" s="1" t="str">
        <f>MID(Table11[[#This Row],[Monthly plan / 月度计划]],1,2)</f>
        <v>VS</v>
      </c>
      <c r="T440" s="1" t="str">
        <f>MID(Table11[[#This Row],[Monthly plan / 月度计划]],4,4)</f>
        <v>0926</v>
      </c>
      <c r="U440" s="1" t="s">
        <v>244</v>
      </c>
      <c r="V440" t="s">
        <v>254</v>
      </c>
      <c r="W440">
        <v>5</v>
      </c>
      <c r="X440" s="1" t="s">
        <v>275</v>
      </c>
      <c r="Y440" t="b">
        <v>1</v>
      </c>
    </row>
    <row r="441" spans="16:28" x14ac:dyDescent="0.3">
      <c r="P441" s="1"/>
      <c r="Q441" t="s">
        <v>241</v>
      </c>
      <c r="R441" t="s">
        <v>8</v>
      </c>
      <c r="S441" s="1" t="str">
        <f>MID(Table11[[#This Row],[Monthly plan / 月度计划]],1,2)</f>
        <v>VS</v>
      </c>
      <c r="T441" s="1" t="str">
        <f>MID(Table11[[#This Row],[Monthly plan / 月度计划]],4,4)</f>
        <v>0886</v>
      </c>
      <c r="U441" s="1" t="s">
        <v>61</v>
      </c>
      <c r="V441" t="s">
        <v>254</v>
      </c>
      <c r="W441">
        <v>50</v>
      </c>
      <c r="X441" s="1" t="s">
        <v>276</v>
      </c>
      <c r="Y441" t="b">
        <v>1</v>
      </c>
    </row>
    <row r="442" spans="16:28" x14ac:dyDescent="0.3">
      <c r="Q442" t="s">
        <v>241</v>
      </c>
      <c r="R442" t="s">
        <v>8</v>
      </c>
      <c r="S442" s="1" t="str">
        <f>MID(Table11[[#This Row],[Monthly plan / 月度计划]],1,2)</f>
        <v>VS</v>
      </c>
      <c r="T442" s="1" t="str">
        <f>MID(Table11[[#This Row],[Monthly plan / 月度计划]],4,4)</f>
        <v>0866</v>
      </c>
      <c r="U442" s="1" t="s">
        <v>59</v>
      </c>
      <c r="V442" t="s">
        <v>253</v>
      </c>
      <c r="W442">
        <v>15</v>
      </c>
      <c r="X442" s="1" t="s">
        <v>274</v>
      </c>
      <c r="Y442" t="b">
        <v>1</v>
      </c>
    </row>
    <row r="443" spans="16:28" x14ac:dyDescent="0.3">
      <c r="Q443" t="s">
        <v>241</v>
      </c>
      <c r="R443" t="s">
        <v>8</v>
      </c>
      <c r="S443" s="1" t="str">
        <f>MID(Table11[[#This Row],[Monthly plan / 月度计划]],1,2)</f>
        <v>VS</v>
      </c>
      <c r="T443" s="1" t="str">
        <f>MID(Table11[[#This Row],[Monthly plan / 月度计划]],4,4)</f>
        <v>0866</v>
      </c>
      <c r="U443" s="1" t="s">
        <v>245</v>
      </c>
      <c r="V443" t="s">
        <v>259</v>
      </c>
      <c r="W443">
        <v>12</v>
      </c>
      <c r="X443" s="1" t="s">
        <v>277</v>
      </c>
      <c r="Y443" t="b">
        <v>1</v>
      </c>
    </row>
    <row r="444" spans="16:28" x14ac:dyDescent="0.3">
      <c r="Q444" t="s">
        <v>241</v>
      </c>
      <c r="R444" t="s">
        <v>8</v>
      </c>
      <c r="S444" s="1" t="str">
        <f>MID(Table11[[#This Row],[Monthly plan / 月度计划]],1,2)</f>
        <v>VS</v>
      </c>
      <c r="T444" s="1" t="str">
        <f>MID(Table11[[#This Row],[Monthly plan / 月度计划]],4,4)</f>
        <v>0846</v>
      </c>
      <c r="U444" s="1" t="s">
        <v>57</v>
      </c>
      <c r="V444" t="s">
        <v>253</v>
      </c>
      <c r="W444">
        <v>70</v>
      </c>
      <c r="X444" s="1" t="s">
        <v>274</v>
      </c>
      <c r="Y444" t="b">
        <v>1</v>
      </c>
    </row>
    <row r="445" spans="16:28" x14ac:dyDescent="0.3">
      <c r="Q445" t="s">
        <v>241</v>
      </c>
      <c r="R445" t="s">
        <v>8</v>
      </c>
      <c r="S445" s="1" t="str">
        <f>MID(Table11[[#This Row],[Monthly plan / 月度计划]],1,2)</f>
        <v>VS</v>
      </c>
      <c r="T445" s="1" t="str">
        <f>MID(Table11[[#This Row],[Monthly plan / 月度计划]],4,4)</f>
        <v>0846</v>
      </c>
      <c r="U445" s="1" t="s">
        <v>205</v>
      </c>
      <c r="V445" t="s">
        <v>256</v>
      </c>
      <c r="W445">
        <v>6</v>
      </c>
      <c r="X445" s="1" t="s">
        <v>278</v>
      </c>
      <c r="Y445" t="b">
        <v>1</v>
      </c>
    </row>
    <row r="446" spans="16:28" x14ac:dyDescent="0.3">
      <c r="Q446" t="s">
        <v>241</v>
      </c>
      <c r="R446" t="s">
        <v>8</v>
      </c>
      <c r="S446" s="1" t="str">
        <f>MID(Table11[[#This Row],[Monthly plan / 月度计划]],1,2)</f>
        <v>VS</v>
      </c>
      <c r="T446" s="1" t="str">
        <f>MID(Table11[[#This Row],[Monthly plan / 月度计划]],4,4)</f>
        <v>0836</v>
      </c>
      <c r="U446" s="1" t="s">
        <v>206</v>
      </c>
      <c r="V446" t="s">
        <v>253</v>
      </c>
      <c r="W446">
        <v>20</v>
      </c>
      <c r="X446" s="1" t="s">
        <v>279</v>
      </c>
      <c r="Y446" t="b">
        <v>1</v>
      </c>
    </row>
    <row r="447" spans="16:28" x14ac:dyDescent="0.3">
      <c r="Q447" t="s">
        <v>241</v>
      </c>
      <c r="R447" t="s">
        <v>8</v>
      </c>
      <c r="S447" s="1" t="str">
        <f>MID(Table11[[#This Row],[Monthly plan / 月度计划]],1,2)</f>
        <v>VS</v>
      </c>
      <c r="T447" s="1" t="str">
        <f>MID(Table11[[#This Row],[Monthly plan / 月度计划]],4,4)</f>
        <v>0826</v>
      </c>
      <c r="U447" s="1" t="s">
        <v>55</v>
      </c>
      <c r="V447" t="s">
        <v>254</v>
      </c>
      <c r="W447">
        <v>50</v>
      </c>
      <c r="X447" s="1" t="s">
        <v>280</v>
      </c>
      <c r="Y447" t="b">
        <v>1</v>
      </c>
    </row>
    <row r="448" spans="16:28" x14ac:dyDescent="0.3">
      <c r="Q448" t="s">
        <v>241</v>
      </c>
      <c r="R448" t="s">
        <v>8</v>
      </c>
      <c r="S448" s="1" t="str">
        <f>MID(Table11[[#This Row],[Monthly plan / 月度计划]],1,2)</f>
        <v>VS</v>
      </c>
      <c r="T448" s="1" t="str">
        <f>MID(Table11[[#This Row],[Monthly plan / 月度计划]],4,4)</f>
        <v>0856</v>
      </c>
      <c r="U448" s="1" t="s">
        <v>58</v>
      </c>
      <c r="V448" t="s">
        <v>254</v>
      </c>
      <c r="W448">
        <v>30</v>
      </c>
      <c r="X448" s="1" t="s">
        <v>281</v>
      </c>
      <c r="Y448" t="b">
        <v>1</v>
      </c>
    </row>
    <row r="449" spans="17:25" x14ac:dyDescent="0.3">
      <c r="Q449" t="s">
        <v>241</v>
      </c>
      <c r="R449" t="s">
        <v>8</v>
      </c>
      <c r="S449" s="1" t="str">
        <f>MID(Table11[[#This Row],[Monthly plan / 月度计划]],1,2)</f>
        <v>VS</v>
      </c>
      <c r="T449" s="1" t="str">
        <f>MID(Table11[[#This Row],[Monthly plan / 月度计划]],4,4)</f>
        <v>0846</v>
      </c>
      <c r="U449" s="1" t="s">
        <v>56</v>
      </c>
      <c r="V449" t="s">
        <v>253</v>
      </c>
      <c r="W449">
        <v>15</v>
      </c>
      <c r="X449" s="1" t="s">
        <v>274</v>
      </c>
      <c r="Y449" t="b">
        <v>1</v>
      </c>
    </row>
    <row r="450" spans="17:25" x14ac:dyDescent="0.3">
      <c r="Q450" t="s">
        <v>241</v>
      </c>
      <c r="R450" t="s">
        <v>8</v>
      </c>
      <c r="S450" s="1" t="str">
        <f>MID(Table11[[#This Row],[Monthly plan / 月度计划]],1,2)</f>
        <v>VS</v>
      </c>
      <c r="T450" s="1" t="str">
        <f>MID(Table11[[#This Row],[Monthly plan / 月度计划]],4,4)</f>
        <v>0855</v>
      </c>
      <c r="U450" s="1" t="s">
        <v>208</v>
      </c>
      <c r="V450" t="s">
        <v>254</v>
      </c>
      <c r="W450">
        <v>25</v>
      </c>
      <c r="X450" s="1" t="s">
        <v>282</v>
      </c>
      <c r="Y450" t="b">
        <v>1</v>
      </c>
    </row>
    <row r="451" spans="17:25" x14ac:dyDescent="0.3">
      <c r="Q451" t="s">
        <v>241</v>
      </c>
      <c r="R451" t="s">
        <v>8</v>
      </c>
      <c r="S451" s="1" t="str">
        <f>MID(Table11[[#This Row],[Monthly plan / 月度计划]],1,2)</f>
        <v>VS</v>
      </c>
      <c r="T451" s="1" t="str">
        <f>MID(Table11[[#This Row],[Monthly plan / 月度计划]],4,4)</f>
        <v>0855</v>
      </c>
      <c r="U451" s="1" t="s">
        <v>228</v>
      </c>
      <c r="V451" t="s">
        <v>254</v>
      </c>
      <c r="W451">
        <v>5</v>
      </c>
      <c r="X451" s="1" t="s">
        <v>282</v>
      </c>
      <c r="Y451" t="b">
        <v>1</v>
      </c>
    </row>
    <row r="452" spans="17:25" x14ac:dyDescent="0.3">
      <c r="Q452" t="s">
        <v>241</v>
      </c>
      <c r="R452" t="s">
        <v>8</v>
      </c>
      <c r="S452" s="1" t="str">
        <f>MID(Table11[[#This Row],[Monthly plan / 月度计划]],1,2)</f>
        <v>VS</v>
      </c>
      <c r="T452" s="1" t="str">
        <f>MID(Table11[[#This Row],[Monthly plan / 月度计划]],4,4)</f>
        <v>0850</v>
      </c>
      <c r="U452" s="1" t="s">
        <v>246</v>
      </c>
      <c r="V452" t="s">
        <v>260</v>
      </c>
      <c r="W452">
        <v>5</v>
      </c>
      <c r="X452" s="1" t="s">
        <v>283</v>
      </c>
      <c r="Y452" t="b">
        <v>1</v>
      </c>
    </row>
    <row r="453" spans="17:25" x14ac:dyDescent="0.3">
      <c r="Q453" t="s">
        <v>241</v>
      </c>
      <c r="R453" t="s">
        <v>3</v>
      </c>
      <c r="S453" s="1" t="str">
        <f>MID(Table11[[#This Row],[Monthly plan / 月度计划]],1,2)</f>
        <v>YR</v>
      </c>
      <c r="T453" s="1" t="str">
        <f>MID(Table11[[#This Row],[Monthly plan / 月度计划]],4,4)</f>
        <v>0986</v>
      </c>
      <c r="U453" s="1" t="s">
        <v>36</v>
      </c>
      <c r="V453" t="s">
        <v>252</v>
      </c>
      <c r="W453">
        <v>20</v>
      </c>
      <c r="X453" s="1" t="s">
        <v>272</v>
      </c>
      <c r="Y453" t="b">
        <v>1</v>
      </c>
    </row>
    <row r="454" spans="17:25" x14ac:dyDescent="0.3">
      <c r="Q454" t="s">
        <v>241</v>
      </c>
      <c r="R454" t="s">
        <v>3</v>
      </c>
      <c r="S454" s="1" t="str">
        <f>MID(Table11[[#This Row],[Monthly plan / 月度计划]],1,2)</f>
        <v>YR</v>
      </c>
      <c r="T454" s="1" t="str">
        <f>MID(Table11[[#This Row],[Monthly plan / 月度计划]],4,4)</f>
        <v>0946</v>
      </c>
      <c r="U454" s="1" t="s">
        <v>32</v>
      </c>
      <c r="V454" t="s">
        <v>252</v>
      </c>
      <c r="W454">
        <v>20</v>
      </c>
      <c r="X454" s="1" t="s">
        <v>272</v>
      </c>
      <c r="Y454" t="b">
        <v>1</v>
      </c>
    </row>
    <row r="455" spans="17:25" x14ac:dyDescent="0.3">
      <c r="Q455" t="s">
        <v>241</v>
      </c>
      <c r="R455" t="s">
        <v>3</v>
      </c>
      <c r="S455" s="1" t="str">
        <f>MID(Table11[[#This Row],[Monthly plan / 月度计划]],1,2)</f>
        <v>YR</v>
      </c>
      <c r="T455" s="1" t="str">
        <f>MID(Table11[[#This Row],[Monthly plan / 月度计划]],4,4)</f>
        <v>0946</v>
      </c>
      <c r="U455" s="1" t="s">
        <v>73</v>
      </c>
      <c r="V455" t="s">
        <v>252</v>
      </c>
      <c r="W455">
        <v>40</v>
      </c>
      <c r="X455" s="1" t="s">
        <v>272</v>
      </c>
      <c r="Y455" t="b">
        <v>1</v>
      </c>
    </row>
    <row r="456" spans="17:25" x14ac:dyDescent="0.3">
      <c r="Q456" t="s">
        <v>241</v>
      </c>
      <c r="R456" t="s">
        <v>3</v>
      </c>
      <c r="S456" s="1" t="str">
        <f>MID(Table11[[#This Row],[Monthly plan / 月度计划]],1,2)</f>
        <v>YR</v>
      </c>
      <c r="T456" s="1" t="str">
        <f>MID(Table11[[#This Row],[Monthly plan / 月度计划]],4,4)</f>
        <v>0906</v>
      </c>
      <c r="U456" s="1" t="s">
        <v>211</v>
      </c>
      <c r="V456" t="s">
        <v>252</v>
      </c>
      <c r="W456">
        <v>40</v>
      </c>
      <c r="X456" s="1" t="s">
        <v>272</v>
      </c>
      <c r="Y456" t="b">
        <v>1</v>
      </c>
    </row>
    <row r="457" spans="17:25" x14ac:dyDescent="0.3">
      <c r="Q457" t="s">
        <v>241</v>
      </c>
      <c r="R457" t="s">
        <v>3</v>
      </c>
      <c r="S457" s="1" t="str">
        <f>MID(Table11[[#This Row],[Monthly plan / 月度计划]],1,2)</f>
        <v>YR</v>
      </c>
      <c r="T457" s="1" t="str">
        <f>MID(Table11[[#This Row],[Monthly plan / 月度计划]],4,4)</f>
        <v>0906</v>
      </c>
      <c r="U457" s="1" t="s">
        <v>212</v>
      </c>
      <c r="V457" t="s">
        <v>252</v>
      </c>
      <c r="W457">
        <v>40</v>
      </c>
      <c r="X457" s="1" t="s">
        <v>272</v>
      </c>
      <c r="Y457" t="b">
        <v>1</v>
      </c>
    </row>
    <row r="458" spans="17:25" x14ac:dyDescent="0.3">
      <c r="Q458" t="s">
        <v>241</v>
      </c>
      <c r="R458" t="s">
        <v>3</v>
      </c>
      <c r="S458" s="1" t="str">
        <f>MID(Table11[[#This Row],[Monthly plan / 月度计划]],1,2)</f>
        <v>YR</v>
      </c>
      <c r="T458" s="1" t="str">
        <f>MID(Table11[[#This Row],[Monthly plan / 月度计划]],4,4)</f>
        <v>0906</v>
      </c>
      <c r="U458" s="1" t="s">
        <v>213</v>
      </c>
      <c r="V458" t="s">
        <v>252</v>
      </c>
      <c r="W458">
        <v>20</v>
      </c>
      <c r="X458" s="1" t="s">
        <v>272</v>
      </c>
      <c r="Y458" t="b">
        <v>1</v>
      </c>
    </row>
    <row r="459" spans="17:25" x14ac:dyDescent="0.3">
      <c r="Q459" t="s">
        <v>241</v>
      </c>
      <c r="R459" t="s">
        <v>3</v>
      </c>
      <c r="S459" s="1" t="str">
        <f>MID(Table11[[#This Row],[Monthly plan / 月度计划]],1,2)</f>
        <v>VS</v>
      </c>
      <c r="T459" s="1" t="str">
        <f>MID(Table11[[#This Row],[Monthly plan / 月度计划]],4,4)</f>
        <v>0905</v>
      </c>
      <c r="U459" s="1" t="s">
        <v>18</v>
      </c>
      <c r="V459" t="s">
        <v>252</v>
      </c>
      <c r="W459">
        <v>70</v>
      </c>
      <c r="X459" s="1" t="s">
        <v>272</v>
      </c>
      <c r="Y459" t="b">
        <v>1</v>
      </c>
    </row>
    <row r="460" spans="17:25" x14ac:dyDescent="0.3">
      <c r="Q460" t="s">
        <v>241</v>
      </c>
      <c r="R460" t="s">
        <v>3</v>
      </c>
      <c r="S460" s="1" t="str">
        <f>MID(Table11[[#This Row],[Monthly plan / 月度计划]],1,2)</f>
        <v>VS</v>
      </c>
      <c r="T460" s="1" t="str">
        <f>MID(Table11[[#This Row],[Monthly plan / 月度计划]],4,4)</f>
        <v>0885</v>
      </c>
      <c r="U460" s="1" t="s">
        <v>24</v>
      </c>
      <c r="V460" t="s">
        <v>252</v>
      </c>
      <c r="W460">
        <v>70</v>
      </c>
      <c r="X460" s="1" t="s">
        <v>272</v>
      </c>
      <c r="Y460" t="b">
        <v>1</v>
      </c>
    </row>
    <row r="461" spans="17:25" x14ac:dyDescent="0.3">
      <c r="Q461" t="s">
        <v>241</v>
      </c>
      <c r="R461" t="s">
        <v>3</v>
      </c>
      <c r="S461" s="1" t="str">
        <f>MID(Table11[[#This Row],[Monthly plan / 月度计划]],1,2)</f>
        <v>VS</v>
      </c>
      <c r="T461" s="1" t="str">
        <f>MID(Table11[[#This Row],[Monthly plan / 月度计划]],4,4)</f>
        <v>0865</v>
      </c>
      <c r="U461" s="1" t="s">
        <v>229</v>
      </c>
      <c r="V461" t="s">
        <v>252</v>
      </c>
      <c r="W461">
        <v>60</v>
      </c>
      <c r="X461" s="1" t="s">
        <v>272</v>
      </c>
      <c r="Y461" t="b">
        <v>1</v>
      </c>
    </row>
    <row r="462" spans="17:25" x14ac:dyDescent="0.3">
      <c r="Q462" t="s">
        <v>241</v>
      </c>
      <c r="R462" t="s">
        <v>3</v>
      </c>
      <c r="S462" s="1" t="str">
        <f>MID(Table11[[#This Row],[Monthly plan / 月度计划]],1,2)</f>
        <v>VS</v>
      </c>
      <c r="T462" s="1" t="str">
        <f>MID(Table11[[#This Row],[Monthly plan / 月度计划]],4,4)</f>
        <v>0865</v>
      </c>
      <c r="U462" s="1" t="s">
        <v>230</v>
      </c>
      <c r="V462" t="s">
        <v>252</v>
      </c>
      <c r="W462">
        <v>60</v>
      </c>
      <c r="X462" s="1" t="s">
        <v>272</v>
      </c>
      <c r="Y462" t="b">
        <v>1</v>
      </c>
    </row>
    <row r="463" spans="17:25" x14ac:dyDescent="0.3">
      <c r="Q463" t="s">
        <v>241</v>
      </c>
      <c r="R463" t="s">
        <v>3</v>
      </c>
      <c r="S463" s="1" t="str">
        <f>MID(Table11[[#This Row],[Monthly plan / 月度计划]],1,2)</f>
        <v>VS</v>
      </c>
      <c r="T463" s="1" t="str">
        <f>MID(Table11[[#This Row],[Monthly plan / 月度计划]],4,4)</f>
        <v>0905</v>
      </c>
      <c r="U463" s="1" t="s">
        <v>19</v>
      </c>
      <c r="V463" t="s">
        <v>252</v>
      </c>
      <c r="W463">
        <v>40</v>
      </c>
      <c r="X463" s="1" t="s">
        <v>272</v>
      </c>
      <c r="Y463" t="b">
        <v>1</v>
      </c>
    </row>
    <row r="464" spans="17:25" x14ac:dyDescent="0.3">
      <c r="Q464" t="s">
        <v>241</v>
      </c>
      <c r="R464" t="s">
        <v>3</v>
      </c>
      <c r="S464" s="1" t="str">
        <f>MID(Table11[[#This Row],[Monthly plan / 月度计划]],1,2)</f>
        <v>VS</v>
      </c>
      <c r="T464" s="1" t="str">
        <f>MID(Table11[[#This Row],[Monthly plan / 月度计划]],4,4)</f>
        <v>0905</v>
      </c>
      <c r="U464" s="1" t="s">
        <v>15</v>
      </c>
      <c r="V464" t="s">
        <v>252</v>
      </c>
      <c r="W464">
        <v>30</v>
      </c>
      <c r="X464" s="1" t="s">
        <v>272</v>
      </c>
      <c r="Y464" t="b">
        <v>1</v>
      </c>
    </row>
    <row r="465" spans="17:25" x14ac:dyDescent="0.3">
      <c r="Q465" t="s">
        <v>241</v>
      </c>
      <c r="R465" t="s">
        <v>3</v>
      </c>
      <c r="S465" s="1" t="str">
        <f>MID(Table11[[#This Row],[Monthly plan / 月度计划]],1,2)</f>
        <v>VS</v>
      </c>
      <c r="T465" s="1" t="str">
        <f>MID(Table11[[#This Row],[Monthly plan / 月度计划]],4,4)</f>
        <v>0905</v>
      </c>
      <c r="U465" s="1" t="s">
        <v>14</v>
      </c>
      <c r="V465" t="s">
        <v>252</v>
      </c>
      <c r="W465">
        <v>30</v>
      </c>
      <c r="X465" s="1" t="s">
        <v>272</v>
      </c>
      <c r="Y465" t="b">
        <v>1</v>
      </c>
    </row>
    <row r="466" spans="17:25" x14ac:dyDescent="0.3">
      <c r="Q466" t="s">
        <v>241</v>
      </c>
      <c r="R466" t="s">
        <v>3</v>
      </c>
      <c r="S466" s="1" t="str">
        <f>MID(Table11[[#This Row],[Monthly plan / 月度计划]],1,2)</f>
        <v>YR</v>
      </c>
      <c r="T466" s="1" t="str">
        <f>MID(Table11[[#This Row],[Monthly plan / 月度计划]],4,4)</f>
        <v>0966</v>
      </c>
      <c r="U466" s="1" t="s">
        <v>231</v>
      </c>
      <c r="V466" t="s">
        <v>254</v>
      </c>
      <c r="W466">
        <v>5</v>
      </c>
      <c r="X466" s="1" t="s">
        <v>288</v>
      </c>
      <c r="Y466" t="b">
        <v>1</v>
      </c>
    </row>
    <row r="467" spans="17:25" x14ac:dyDescent="0.3">
      <c r="Q467" t="s">
        <v>241</v>
      </c>
      <c r="R467" t="s">
        <v>3</v>
      </c>
      <c r="S467" s="1" t="str">
        <f>MID(Table11[[#This Row],[Monthly plan / 月度计划]],1,2)</f>
        <v>YR</v>
      </c>
      <c r="T467" s="1" t="str">
        <f>MID(Table11[[#This Row],[Monthly plan / 月度计划]],4,4)</f>
        <v>0946</v>
      </c>
      <c r="U467" s="1" t="s">
        <v>247</v>
      </c>
      <c r="V467" t="s">
        <v>253</v>
      </c>
      <c r="W467">
        <v>20</v>
      </c>
      <c r="X467" s="1" t="s">
        <v>290</v>
      </c>
      <c r="Y467" t="b">
        <v>1</v>
      </c>
    </row>
    <row r="468" spans="17:25" x14ac:dyDescent="0.3">
      <c r="Q468" t="s">
        <v>241</v>
      </c>
      <c r="R468" t="s">
        <v>3</v>
      </c>
      <c r="S468" s="1" t="str">
        <f>MID(Table11[[#This Row],[Monthly plan / 月度计划]],1,2)</f>
        <v>YR</v>
      </c>
      <c r="T468" s="1" t="str">
        <f>MID(Table11[[#This Row],[Monthly plan / 月度计划]],4,4)</f>
        <v>0886</v>
      </c>
      <c r="U468" s="1" t="s">
        <v>214</v>
      </c>
      <c r="V468" t="s">
        <v>253</v>
      </c>
      <c r="W468">
        <v>50</v>
      </c>
      <c r="X468" s="1" t="s">
        <v>291</v>
      </c>
      <c r="Y468" t="b">
        <v>1</v>
      </c>
    </row>
    <row r="469" spans="17:25" x14ac:dyDescent="0.3">
      <c r="Q469" t="s">
        <v>241</v>
      </c>
      <c r="R469" t="s">
        <v>3</v>
      </c>
      <c r="S469" s="1" t="str">
        <f>MID(Table11[[#This Row],[Monthly plan / 月度计划]],1,2)</f>
        <v>YR</v>
      </c>
      <c r="T469" s="1" t="str">
        <f>MID(Table11[[#This Row],[Monthly plan / 月度计划]],4,4)</f>
        <v>0886</v>
      </c>
      <c r="U469" s="1" t="s">
        <v>248</v>
      </c>
      <c r="V469" t="s">
        <v>252</v>
      </c>
      <c r="W469">
        <v>3</v>
      </c>
      <c r="X469" s="1" t="s">
        <v>291</v>
      </c>
      <c r="Y469" t="b">
        <v>1</v>
      </c>
    </row>
    <row r="470" spans="17:25" x14ac:dyDescent="0.3">
      <c r="Q470" t="s">
        <v>241</v>
      </c>
      <c r="R470" t="s">
        <v>3</v>
      </c>
      <c r="S470" s="1" t="str">
        <f>MID(Table11[[#This Row],[Monthly plan / 月度计划]],1,2)</f>
        <v>YR</v>
      </c>
      <c r="T470" s="1" t="str">
        <f>MID(Table11[[#This Row],[Monthly plan / 月度计划]],4,4)</f>
        <v>0846</v>
      </c>
      <c r="U470" s="1" t="s">
        <v>216</v>
      </c>
      <c r="V470" t="s">
        <v>254</v>
      </c>
      <c r="W470">
        <v>50</v>
      </c>
      <c r="X470" s="1" t="s">
        <v>280</v>
      </c>
      <c r="Y470" t="b">
        <v>1</v>
      </c>
    </row>
    <row r="471" spans="17:25" x14ac:dyDescent="0.3">
      <c r="Q471" t="s">
        <v>241</v>
      </c>
      <c r="R471" t="s">
        <v>3</v>
      </c>
      <c r="S471" s="1" t="str">
        <f>MID(Table11[[#This Row],[Monthly plan / 月度计划]],1,2)</f>
        <v>YR</v>
      </c>
      <c r="T471" s="1" t="str">
        <f>MID(Table11[[#This Row],[Monthly plan / 月度计划]],4,4)</f>
        <v>0866</v>
      </c>
      <c r="U471" s="1" t="s">
        <v>232</v>
      </c>
      <c r="V471" t="s">
        <v>254</v>
      </c>
      <c r="W471">
        <v>15</v>
      </c>
      <c r="X471" s="1" t="s">
        <v>279</v>
      </c>
      <c r="Y471" t="b">
        <v>1</v>
      </c>
    </row>
    <row r="472" spans="17:25" x14ac:dyDescent="0.3">
      <c r="Q472" t="s">
        <v>241</v>
      </c>
      <c r="R472" t="s">
        <v>3</v>
      </c>
      <c r="S472" s="1" t="str">
        <f>MID(Table11[[#This Row],[Monthly plan / 月度计划]],1,2)</f>
        <v>YR</v>
      </c>
      <c r="T472" s="1" t="str">
        <f>MID(Table11[[#This Row],[Monthly plan / 月度计划]],4,4)</f>
        <v>0866</v>
      </c>
      <c r="U472" s="1" t="s">
        <v>249</v>
      </c>
      <c r="V472" t="s">
        <v>256</v>
      </c>
      <c r="W472">
        <v>18</v>
      </c>
      <c r="X472" s="1" t="s">
        <v>278</v>
      </c>
      <c r="Y472" t="b">
        <v>1</v>
      </c>
    </row>
    <row r="473" spans="17:25" x14ac:dyDescent="0.3">
      <c r="Q473" t="s">
        <v>241</v>
      </c>
      <c r="R473" t="s">
        <v>3</v>
      </c>
      <c r="S473" s="1" t="str">
        <f>MID(Table11[[#This Row],[Monthly plan / 月度计划]],1,2)</f>
        <v>YR</v>
      </c>
      <c r="T473" s="1" t="str">
        <f>MID(Table11[[#This Row],[Monthly plan / 月度计划]],4,4)</f>
        <v>0906</v>
      </c>
      <c r="U473" s="1" t="s">
        <v>43</v>
      </c>
      <c r="V473" t="s">
        <v>253</v>
      </c>
      <c r="W473">
        <v>15</v>
      </c>
      <c r="X473" s="1" t="s">
        <v>291</v>
      </c>
      <c r="Y473" t="b">
        <v>1</v>
      </c>
    </row>
    <row r="474" spans="17:25" x14ac:dyDescent="0.3">
      <c r="Q474" t="s">
        <v>241</v>
      </c>
      <c r="R474" t="s">
        <v>3</v>
      </c>
      <c r="S474" s="1" t="str">
        <f>MID(Table11[[#This Row],[Monthly plan / 月度计划]],1,2)</f>
        <v>VS</v>
      </c>
      <c r="T474" s="1" t="str">
        <f>MID(Table11[[#This Row],[Monthly plan / 月度计划]],4,4)</f>
        <v>0885</v>
      </c>
      <c r="U474" s="1" t="s">
        <v>26</v>
      </c>
      <c r="V474" t="s">
        <v>253</v>
      </c>
      <c r="W474">
        <v>70</v>
      </c>
      <c r="X474" s="1" t="s">
        <v>291</v>
      </c>
      <c r="Y474" t="b">
        <v>1</v>
      </c>
    </row>
    <row r="475" spans="17:25" x14ac:dyDescent="0.3">
      <c r="Q475" t="s">
        <v>241</v>
      </c>
      <c r="R475" t="s">
        <v>3</v>
      </c>
      <c r="S475" s="1" t="str">
        <f>MID(Table11[[#This Row],[Monthly plan / 月度计划]],1,2)</f>
        <v>VS</v>
      </c>
      <c r="T475" s="1" t="str">
        <f>MID(Table11[[#This Row],[Monthly plan / 月度计划]],4,4)</f>
        <v>0865</v>
      </c>
      <c r="U475" s="1" t="s">
        <v>22</v>
      </c>
      <c r="V475" t="s">
        <v>253</v>
      </c>
      <c r="W475">
        <v>50</v>
      </c>
      <c r="X475" s="1" t="s">
        <v>293</v>
      </c>
      <c r="Y475" t="b">
        <v>1</v>
      </c>
    </row>
    <row r="476" spans="17:25" x14ac:dyDescent="0.3">
      <c r="Q476" t="s">
        <v>241</v>
      </c>
      <c r="R476" t="s">
        <v>3</v>
      </c>
      <c r="S476" s="1" t="str">
        <f>MID(Table11[[#This Row],[Monthly plan / 月度计划]],1,2)</f>
        <v>VS</v>
      </c>
      <c r="T476" s="1" t="str">
        <f>MID(Table11[[#This Row],[Monthly plan / 月度计划]],4,4)</f>
        <v>0865</v>
      </c>
      <c r="U476" s="1" t="s">
        <v>21</v>
      </c>
      <c r="V476" t="s">
        <v>253</v>
      </c>
      <c r="W476">
        <v>12</v>
      </c>
      <c r="X476" s="1" t="s">
        <v>291</v>
      </c>
      <c r="Y476" t="b">
        <v>1</v>
      </c>
    </row>
    <row r="477" spans="17:25" x14ac:dyDescent="0.3">
      <c r="Q477" t="s">
        <v>241</v>
      </c>
      <c r="R477" t="s">
        <v>3</v>
      </c>
      <c r="S477" s="1" t="str">
        <f>MID(Table11[[#This Row],[Monthly plan / 月度计划]],1,2)</f>
        <v>VS</v>
      </c>
      <c r="T477" s="1" t="str">
        <f>MID(Table11[[#This Row],[Monthly plan / 月度计划]],4,4)</f>
        <v>0865</v>
      </c>
      <c r="U477" s="1" t="s">
        <v>217</v>
      </c>
      <c r="V477" t="s">
        <v>256</v>
      </c>
      <c r="W477">
        <v>5</v>
      </c>
      <c r="X477" s="1" t="s">
        <v>292</v>
      </c>
      <c r="Y477" t="b">
        <v>1</v>
      </c>
    </row>
    <row r="478" spans="17:25" x14ac:dyDescent="0.3">
      <c r="Q478" t="s">
        <v>241</v>
      </c>
      <c r="R478" t="s">
        <v>3</v>
      </c>
      <c r="S478" s="1" t="str">
        <f>MID(Table11[[#This Row],[Monthly plan / 月度计划]],1,2)</f>
        <v>VS</v>
      </c>
      <c r="T478" s="1" t="str">
        <f>MID(Table11[[#This Row],[Monthly plan / 月度计划]],4,4)</f>
        <v>0865</v>
      </c>
      <c r="U478" s="1" t="s">
        <v>250</v>
      </c>
      <c r="V478" t="s">
        <v>254</v>
      </c>
      <c r="W478">
        <v>20</v>
      </c>
      <c r="X478" s="1" t="s">
        <v>273</v>
      </c>
      <c r="Y478" t="b">
        <v>1</v>
      </c>
    </row>
    <row r="479" spans="17:25" x14ac:dyDescent="0.3">
      <c r="Q479" t="s">
        <v>241</v>
      </c>
      <c r="R479" t="s">
        <v>3</v>
      </c>
      <c r="S479" s="1" t="str">
        <f>MID(Table11[[#This Row],[Monthly plan / 月度计划]],1,2)</f>
        <v>VS</v>
      </c>
      <c r="T479" s="1" t="str">
        <f>MID(Table11[[#This Row],[Monthly plan / 月度计划]],4,4)</f>
        <v>0855</v>
      </c>
      <c r="U479" s="1" t="s">
        <v>251</v>
      </c>
      <c r="V479" t="s">
        <v>254</v>
      </c>
      <c r="W479">
        <v>15</v>
      </c>
      <c r="X479" s="1" t="s">
        <v>280</v>
      </c>
      <c r="Y479" t="b">
        <v>1</v>
      </c>
    </row>
    <row r="480" spans="17:25" x14ac:dyDescent="0.3">
      <c r="Q480" t="s">
        <v>241</v>
      </c>
      <c r="R480" t="s">
        <v>3</v>
      </c>
      <c r="S480" s="1" t="str">
        <f>MID(Table11[[#This Row],[Monthly plan / 月度计划]],1,2)</f>
        <v>VS</v>
      </c>
      <c r="T480" s="1" t="str">
        <f>MID(Table11[[#This Row],[Monthly plan / 月度计划]],4,4)</f>
        <v>0845</v>
      </c>
      <c r="U480" s="1" t="s">
        <v>20</v>
      </c>
      <c r="V480" t="s">
        <v>254</v>
      </c>
      <c r="W480">
        <v>40</v>
      </c>
      <c r="X480" s="1" t="s">
        <v>280</v>
      </c>
      <c r="Y480" t="b">
        <v>1</v>
      </c>
    </row>
    <row r="481" spans="17:25" x14ac:dyDescent="0.3">
      <c r="Q481" t="s">
        <v>241</v>
      </c>
      <c r="R481" t="s">
        <v>3</v>
      </c>
      <c r="S481" s="1" t="str">
        <f>MID(Table11[[#This Row],[Monthly plan / 月度计划]],1,2)</f>
        <v>VS</v>
      </c>
      <c r="T481" s="1" t="str">
        <f>MID(Table11[[#This Row],[Monthly plan / 月度计划]],4,4)</f>
        <v>0905</v>
      </c>
      <c r="U481" s="1" t="s">
        <v>234</v>
      </c>
      <c r="V481" t="s">
        <v>253</v>
      </c>
      <c r="W481">
        <v>6</v>
      </c>
      <c r="X481" s="1" t="s">
        <v>273</v>
      </c>
      <c r="Y481" t="b">
        <v>1</v>
      </c>
    </row>
    <row r="482" spans="17:25" x14ac:dyDescent="0.3">
      <c r="Q482" t="s">
        <v>301</v>
      </c>
      <c r="R482" t="s">
        <v>8</v>
      </c>
      <c r="S482" s="1" t="str">
        <f>MID(Table11[[#This Row],[Monthly plan / 月度计划]],1,2)</f>
        <v>VS</v>
      </c>
      <c r="T482" s="1" t="str">
        <f>MID(Table11[[#This Row],[Monthly plan / 月度计划]],4,4)</f>
        <v>0866</v>
      </c>
      <c r="U482" s="1" t="s">
        <v>53</v>
      </c>
      <c r="V482" t="s">
        <v>252</v>
      </c>
      <c r="W482">
        <v>70</v>
      </c>
      <c r="X482" s="1" t="s">
        <v>272</v>
      </c>
      <c r="Y482" t="b">
        <v>1</v>
      </c>
    </row>
    <row r="483" spans="17:25" x14ac:dyDescent="0.3">
      <c r="Q483" t="s">
        <v>301</v>
      </c>
      <c r="R483" t="s">
        <v>8</v>
      </c>
      <c r="S483" s="1" t="str">
        <f>MID(Table11[[#This Row],[Monthly plan / 月度计划]],1,2)</f>
        <v>VS</v>
      </c>
      <c r="T483" s="1" t="str">
        <f>MID(Table11[[#This Row],[Monthly plan / 月度计划]],4,4)</f>
        <v>1000</v>
      </c>
      <c r="U483" s="1" t="s">
        <v>6</v>
      </c>
      <c r="V483" t="s">
        <v>252</v>
      </c>
      <c r="W483">
        <v>60</v>
      </c>
      <c r="X483" s="1" t="s">
        <v>272</v>
      </c>
      <c r="Y483" t="b">
        <v>1</v>
      </c>
    </row>
    <row r="484" spans="17:25" x14ac:dyDescent="0.3">
      <c r="Q484" t="s">
        <v>301</v>
      </c>
      <c r="R484" t="s">
        <v>8</v>
      </c>
      <c r="S484" s="1" t="str">
        <f>MID(Table11[[#This Row],[Monthly plan / 月度计划]],1,2)</f>
        <v>VS</v>
      </c>
      <c r="T484" s="1" t="str">
        <f>MID(Table11[[#This Row],[Monthly plan / 月度计划]],4,4)</f>
        <v>0946</v>
      </c>
      <c r="U484" s="1" t="s">
        <v>302</v>
      </c>
      <c r="V484" t="s">
        <v>252</v>
      </c>
      <c r="W484">
        <v>20</v>
      </c>
      <c r="X484" s="1" t="s">
        <v>272</v>
      </c>
      <c r="Y484" t="b">
        <v>1</v>
      </c>
    </row>
    <row r="485" spans="17:25" x14ac:dyDescent="0.3">
      <c r="Q485" t="s">
        <v>301</v>
      </c>
      <c r="R485" t="s">
        <v>8</v>
      </c>
      <c r="S485" s="1" t="str">
        <f>MID(Table11[[#This Row],[Monthly plan / 月度计划]],1,2)</f>
        <v>VS</v>
      </c>
      <c r="T485" s="1" t="str">
        <f>MID(Table11[[#This Row],[Monthly plan / 月度计划]],4,4)</f>
        <v>0946</v>
      </c>
      <c r="U485" s="1" t="s">
        <v>303</v>
      </c>
      <c r="V485" t="s">
        <v>252</v>
      </c>
      <c r="W485">
        <v>20</v>
      </c>
      <c r="X485" s="1" t="s">
        <v>272</v>
      </c>
      <c r="Y485" t="b">
        <v>1</v>
      </c>
    </row>
    <row r="486" spans="17:25" x14ac:dyDescent="0.3">
      <c r="Q486" t="s">
        <v>301</v>
      </c>
      <c r="R486" t="s">
        <v>8</v>
      </c>
      <c r="S486" s="1" t="str">
        <f>MID(Table11[[#This Row],[Monthly plan / 月度计划]],1,2)</f>
        <v>VS</v>
      </c>
      <c r="T486" s="1" t="str">
        <f>MID(Table11[[#This Row],[Monthly plan / 月度计划]],4,4)</f>
        <v>0946</v>
      </c>
      <c r="U486" s="1" t="s">
        <v>304</v>
      </c>
      <c r="V486" t="s">
        <v>252</v>
      </c>
      <c r="W486">
        <v>40</v>
      </c>
      <c r="X486" s="1" t="s">
        <v>272</v>
      </c>
      <c r="Y486" t="b">
        <v>1</v>
      </c>
    </row>
    <row r="487" spans="17:25" x14ac:dyDescent="0.3">
      <c r="Q487" t="s">
        <v>301</v>
      </c>
      <c r="R487" t="s">
        <v>8</v>
      </c>
      <c r="S487" s="1" t="str">
        <f>MID(Table11[[#This Row],[Monthly plan / 月度计划]],1,2)</f>
        <v>VS</v>
      </c>
      <c r="T487" s="1" t="str">
        <f>MID(Table11[[#This Row],[Monthly plan / 月度计划]],4,4)</f>
        <v>0866</v>
      </c>
      <c r="U487" s="1" t="s">
        <v>45</v>
      </c>
      <c r="V487" t="s">
        <v>252</v>
      </c>
      <c r="W487">
        <v>60</v>
      </c>
      <c r="X487" s="1" t="s">
        <v>272</v>
      </c>
      <c r="Y487" t="b">
        <v>1</v>
      </c>
    </row>
    <row r="488" spans="17:25" x14ac:dyDescent="0.3">
      <c r="Q488" t="s">
        <v>301</v>
      </c>
      <c r="R488" t="s">
        <v>8</v>
      </c>
      <c r="S488" s="1" t="str">
        <f>MID(Table11[[#This Row],[Monthly plan / 月度计划]],1,2)</f>
        <v>VS</v>
      </c>
      <c r="T488" s="1" t="str">
        <f>MID(Table11[[#This Row],[Monthly plan / 月度计划]],4,4)</f>
        <v>0846</v>
      </c>
      <c r="U488" s="1" t="s">
        <v>305</v>
      </c>
      <c r="V488" t="s">
        <v>252</v>
      </c>
      <c r="W488">
        <v>40</v>
      </c>
      <c r="X488" s="1" t="s">
        <v>272</v>
      </c>
      <c r="Y488" t="b">
        <v>1</v>
      </c>
    </row>
    <row r="489" spans="17:25" x14ac:dyDescent="0.3">
      <c r="Q489" t="s">
        <v>301</v>
      </c>
      <c r="R489" t="s">
        <v>8</v>
      </c>
      <c r="S489" s="1" t="str">
        <f>MID(Table11[[#This Row],[Monthly plan / 月度计划]],1,2)</f>
        <v>VS</v>
      </c>
      <c r="T489" s="1" t="str">
        <f>MID(Table11[[#This Row],[Monthly plan / 月度计划]],4,4)</f>
        <v>1000</v>
      </c>
      <c r="U489" s="1" t="s">
        <v>242</v>
      </c>
      <c r="V489" t="s">
        <v>252</v>
      </c>
      <c r="W489">
        <v>30</v>
      </c>
      <c r="X489" s="1" t="s">
        <v>272</v>
      </c>
      <c r="Y489" t="b">
        <v>1</v>
      </c>
    </row>
    <row r="490" spans="17:25" x14ac:dyDescent="0.3">
      <c r="Q490" t="s">
        <v>301</v>
      </c>
      <c r="R490" t="s">
        <v>8</v>
      </c>
      <c r="S490" s="1" t="str">
        <f>MID(Table11[[#This Row],[Monthly plan / 月度计划]],1,2)</f>
        <v>VS</v>
      </c>
      <c r="T490" s="1" t="str">
        <f>MID(Table11[[#This Row],[Monthly plan / 月度计划]],4,4)</f>
        <v>0946</v>
      </c>
      <c r="U490" s="1" t="s">
        <v>219</v>
      </c>
      <c r="V490" t="s">
        <v>252</v>
      </c>
      <c r="W490">
        <v>30</v>
      </c>
      <c r="X490" s="1" t="s">
        <v>272</v>
      </c>
      <c r="Y490" t="b">
        <v>1</v>
      </c>
    </row>
    <row r="491" spans="17:25" x14ac:dyDescent="0.3">
      <c r="Q491" t="s">
        <v>301</v>
      </c>
      <c r="R491" t="s">
        <v>8</v>
      </c>
      <c r="S491" s="1" t="str">
        <f>MID(Table11[[#This Row],[Monthly plan / 月度计划]],1,2)</f>
        <v>VS</v>
      </c>
      <c r="T491" s="1" t="str">
        <f>MID(Table11[[#This Row],[Monthly plan / 月度计划]],4,4)</f>
        <v>0946</v>
      </c>
      <c r="U491" s="1" t="s">
        <v>220</v>
      </c>
      <c r="V491" t="s">
        <v>252</v>
      </c>
      <c r="W491">
        <v>30</v>
      </c>
      <c r="X491" s="1" t="s">
        <v>272</v>
      </c>
      <c r="Y491" t="b">
        <v>1</v>
      </c>
    </row>
    <row r="492" spans="17:25" x14ac:dyDescent="0.3">
      <c r="Q492" t="s">
        <v>301</v>
      </c>
      <c r="R492" t="s">
        <v>8</v>
      </c>
      <c r="S492" s="1" t="str">
        <f>MID(Table11[[#This Row],[Monthly plan / 月度计划]],1,2)</f>
        <v>VS</v>
      </c>
      <c r="T492" s="1" t="str">
        <f>MID(Table11[[#This Row],[Monthly plan / 月度计划]],4,4)</f>
        <v>0946</v>
      </c>
      <c r="U492" s="1" t="s">
        <v>221</v>
      </c>
      <c r="V492" t="s">
        <v>252</v>
      </c>
      <c r="W492">
        <v>30</v>
      </c>
      <c r="X492" s="1" t="s">
        <v>272</v>
      </c>
      <c r="Y492" t="b">
        <v>1</v>
      </c>
    </row>
    <row r="493" spans="17:25" x14ac:dyDescent="0.3">
      <c r="Q493" t="s">
        <v>301</v>
      </c>
      <c r="R493" t="s">
        <v>8</v>
      </c>
      <c r="S493" s="1" t="str">
        <f>MID(Table11[[#This Row],[Monthly plan / 月度计划]],1,2)</f>
        <v>VS</v>
      </c>
      <c r="T493" s="1" t="str">
        <f>MID(Table11[[#This Row],[Monthly plan / 月度计划]],4,4)</f>
        <v>0946</v>
      </c>
      <c r="U493" s="1" t="s">
        <v>222</v>
      </c>
      <c r="V493" t="s">
        <v>252</v>
      </c>
      <c r="W493">
        <v>30</v>
      </c>
      <c r="X493" s="1" t="s">
        <v>272</v>
      </c>
      <c r="Y493" t="b">
        <v>1</v>
      </c>
    </row>
    <row r="494" spans="17:25" x14ac:dyDescent="0.3">
      <c r="Q494" t="s">
        <v>301</v>
      </c>
      <c r="R494" t="s">
        <v>8</v>
      </c>
      <c r="S494" s="1" t="str">
        <f>MID(Table11[[#This Row],[Monthly plan / 月度计划]],1,2)</f>
        <v>VS</v>
      </c>
      <c r="T494" s="1" t="str">
        <f>MID(Table11[[#This Row],[Monthly plan / 月度计划]],4,4)</f>
        <v>0946</v>
      </c>
      <c r="U494" s="1" t="s">
        <v>224</v>
      </c>
      <c r="V494" t="s">
        <v>252</v>
      </c>
      <c r="W494">
        <v>40</v>
      </c>
      <c r="X494" s="1" t="s">
        <v>272</v>
      </c>
      <c r="Y494" t="b">
        <v>1</v>
      </c>
    </row>
    <row r="495" spans="17:25" x14ac:dyDescent="0.3">
      <c r="Q495" t="s">
        <v>301</v>
      </c>
      <c r="R495" t="s">
        <v>8</v>
      </c>
      <c r="S495" s="1" t="str">
        <f>MID(Table11[[#This Row],[Monthly plan / 月度计划]],1,2)</f>
        <v>VS</v>
      </c>
      <c r="T495" s="1" t="str">
        <f>MID(Table11[[#This Row],[Monthly plan / 月度计划]],4,4)</f>
        <v>0906</v>
      </c>
      <c r="U495" s="1" t="s">
        <v>226</v>
      </c>
      <c r="V495" t="s">
        <v>252</v>
      </c>
      <c r="W495">
        <v>40</v>
      </c>
      <c r="X495" s="1" t="s">
        <v>272</v>
      </c>
      <c r="Y495" t="b">
        <v>1</v>
      </c>
    </row>
    <row r="496" spans="17:25" x14ac:dyDescent="0.3">
      <c r="Q496" t="s">
        <v>301</v>
      </c>
      <c r="R496" t="s">
        <v>8</v>
      </c>
      <c r="S496" s="1" t="str">
        <f>MID(Table11[[#This Row],[Monthly plan / 月度计划]],1,2)</f>
        <v>VS</v>
      </c>
      <c r="T496" s="1" t="str">
        <f>MID(Table11[[#This Row],[Monthly plan / 月度计划]],4,4)</f>
        <v>0846</v>
      </c>
      <c r="U496" s="1" t="s">
        <v>306</v>
      </c>
      <c r="V496" t="s">
        <v>252</v>
      </c>
      <c r="W496">
        <v>40</v>
      </c>
      <c r="X496" s="1" t="s">
        <v>272</v>
      </c>
      <c r="Y496" t="b">
        <v>1</v>
      </c>
    </row>
    <row r="497" spans="17:25" x14ac:dyDescent="0.3">
      <c r="Q497" t="s">
        <v>301</v>
      </c>
      <c r="R497" t="s">
        <v>8</v>
      </c>
      <c r="S497" s="1" t="str">
        <f>MID(Table11[[#This Row],[Monthly plan / 月度计划]],1,2)</f>
        <v>YR</v>
      </c>
      <c r="T497" s="1" t="str">
        <f>MID(Table11[[#This Row],[Monthly plan / 月度计划]],4,4)</f>
        <v>0926</v>
      </c>
      <c r="U497" s="1" t="s">
        <v>44</v>
      </c>
      <c r="V497" t="s">
        <v>252</v>
      </c>
      <c r="W497">
        <v>20</v>
      </c>
      <c r="X497" s="1" t="s">
        <v>272</v>
      </c>
      <c r="Y497" t="b">
        <v>1</v>
      </c>
    </row>
    <row r="498" spans="17:25" x14ac:dyDescent="0.3">
      <c r="Q498" t="s">
        <v>301</v>
      </c>
      <c r="R498" t="s">
        <v>8</v>
      </c>
      <c r="S498" s="1" t="str">
        <f>MID(Table11[[#This Row],[Monthly plan / 月度计划]],1,2)</f>
        <v>YR</v>
      </c>
      <c r="T498" s="1" t="str">
        <f>MID(Table11[[#This Row],[Monthly plan / 月度计划]],4,4)</f>
        <v>0926</v>
      </c>
      <c r="U498" s="1" t="s">
        <v>307</v>
      </c>
      <c r="V498" t="s">
        <v>252</v>
      </c>
      <c r="W498">
        <v>40</v>
      </c>
      <c r="X498" s="1" t="s">
        <v>272</v>
      </c>
      <c r="Y498" t="b">
        <v>1</v>
      </c>
    </row>
    <row r="499" spans="17:25" ht="25.8" customHeight="1" x14ac:dyDescent="0.3">
      <c r="Q499" t="s">
        <v>301</v>
      </c>
      <c r="R499" t="s">
        <v>8</v>
      </c>
      <c r="S499" s="1" t="str">
        <f>MID(Table11[[#This Row],[Monthly plan / 月度计划]],1,2)</f>
        <v>VS</v>
      </c>
      <c r="T499" s="1" t="str">
        <f>MID(Table11[[#This Row],[Monthly plan / 月度计划]],4,4)</f>
        <v>0966</v>
      </c>
      <c r="U499" s="1" t="s">
        <v>308</v>
      </c>
      <c r="V499" t="s">
        <v>253</v>
      </c>
      <c r="W499">
        <v>40</v>
      </c>
      <c r="X499" s="1" t="s">
        <v>291</v>
      </c>
      <c r="Y499" t="b">
        <v>1</v>
      </c>
    </row>
    <row r="500" spans="17:25" x14ac:dyDescent="0.3">
      <c r="Q500" t="s">
        <v>301</v>
      </c>
      <c r="R500" t="s">
        <v>8</v>
      </c>
      <c r="S500" s="1" t="str">
        <f>MID(Table11[[#This Row],[Monthly plan / 月度计划]],1,2)</f>
        <v>VS</v>
      </c>
      <c r="T500" s="1" t="str">
        <f>MID(Table11[[#This Row],[Monthly plan / 月度计划]],4,4)</f>
        <v>0926</v>
      </c>
      <c r="U500" s="1" t="s">
        <v>309</v>
      </c>
      <c r="V500" t="s">
        <v>253</v>
      </c>
      <c r="W500">
        <v>50</v>
      </c>
      <c r="X500" s="1" t="s">
        <v>291</v>
      </c>
      <c r="Y500" t="b">
        <v>1</v>
      </c>
    </row>
    <row r="501" spans="17:25" x14ac:dyDescent="0.3">
      <c r="Q501" t="s">
        <v>301</v>
      </c>
      <c r="R501" t="s">
        <v>8</v>
      </c>
      <c r="S501" s="1" t="str">
        <f>MID(Table11[[#This Row],[Monthly plan / 月度计划]],1,2)</f>
        <v>VS</v>
      </c>
      <c r="T501" s="1" t="str">
        <f>MID(Table11[[#This Row],[Monthly plan / 月度计划]],4,4)</f>
        <v>0886</v>
      </c>
      <c r="U501" s="1" t="s">
        <v>61</v>
      </c>
      <c r="V501" t="s">
        <v>254</v>
      </c>
      <c r="W501">
        <v>50</v>
      </c>
      <c r="X501" s="1" t="s">
        <v>276</v>
      </c>
      <c r="Y501" t="b">
        <v>1</v>
      </c>
    </row>
    <row r="502" spans="17:25" x14ac:dyDescent="0.3">
      <c r="Q502" t="s">
        <v>301</v>
      </c>
      <c r="R502" t="s">
        <v>8</v>
      </c>
      <c r="S502" s="1" t="str">
        <f>MID(Table11[[#This Row],[Monthly plan / 月度计划]],1,2)</f>
        <v>VS</v>
      </c>
      <c r="T502" s="1" t="str">
        <f>MID(Table11[[#This Row],[Monthly plan / 月度计划]],4,4)</f>
        <v>0866</v>
      </c>
      <c r="U502" s="1" t="s">
        <v>245</v>
      </c>
      <c r="V502" t="s">
        <v>259</v>
      </c>
      <c r="W502">
        <v>10</v>
      </c>
      <c r="X502" s="1" t="s">
        <v>277</v>
      </c>
      <c r="Y502" t="b">
        <v>1</v>
      </c>
    </row>
    <row r="503" spans="17:25" x14ac:dyDescent="0.3">
      <c r="Q503" t="s">
        <v>301</v>
      </c>
      <c r="R503" t="s">
        <v>8</v>
      </c>
      <c r="S503" s="1" t="str">
        <f>MID(Table11[[#This Row],[Monthly plan / 月度计划]],1,2)</f>
        <v>VS</v>
      </c>
      <c r="T503" s="1" t="str">
        <f>MID(Table11[[#This Row],[Monthly plan / 月度计划]],4,4)</f>
        <v>0856</v>
      </c>
      <c r="U503" s="1" t="s">
        <v>58</v>
      </c>
      <c r="V503" t="s">
        <v>254</v>
      </c>
      <c r="W503">
        <v>30</v>
      </c>
      <c r="X503" s="1" t="s">
        <v>276</v>
      </c>
      <c r="Y503" t="b">
        <v>1</v>
      </c>
    </row>
    <row r="504" spans="17:25" x14ac:dyDescent="0.3">
      <c r="Q504" t="s">
        <v>301</v>
      </c>
      <c r="R504" t="s">
        <v>8</v>
      </c>
      <c r="S504" s="1" t="str">
        <f>MID(Table11[[#This Row],[Monthly plan / 月度计划]],1,2)</f>
        <v>VS</v>
      </c>
      <c r="T504" s="1" t="str">
        <f>MID(Table11[[#This Row],[Monthly plan / 月度计划]],4,4)</f>
        <v>0846</v>
      </c>
      <c r="U504" s="1" t="s">
        <v>57</v>
      </c>
      <c r="V504" t="s">
        <v>253</v>
      </c>
      <c r="W504">
        <v>40</v>
      </c>
      <c r="X504" s="1" t="s">
        <v>291</v>
      </c>
      <c r="Y504" t="b">
        <v>1</v>
      </c>
    </row>
    <row r="505" spans="17:25" x14ac:dyDescent="0.3">
      <c r="Q505" t="s">
        <v>301</v>
      </c>
      <c r="R505" t="s">
        <v>8</v>
      </c>
      <c r="S505" s="1" t="str">
        <f>MID(Table11[[#This Row],[Monthly plan / 月度计划]],1,2)</f>
        <v>VS</v>
      </c>
      <c r="T505" s="1" t="str">
        <f>MID(Table11[[#This Row],[Monthly plan / 月度计划]],4,4)</f>
        <v>0826</v>
      </c>
      <c r="U505" s="1" t="s">
        <v>310</v>
      </c>
      <c r="V505" t="s">
        <v>253</v>
      </c>
      <c r="W505">
        <v>20</v>
      </c>
      <c r="X505" s="1" t="s">
        <v>291</v>
      </c>
      <c r="Y505" t="b">
        <v>1</v>
      </c>
    </row>
    <row r="506" spans="17:25" x14ac:dyDescent="0.3">
      <c r="Q506" t="s">
        <v>301</v>
      </c>
      <c r="R506" t="s">
        <v>8</v>
      </c>
      <c r="S506" s="1" t="str">
        <f>MID(Table11[[#This Row],[Monthly plan / 月度计划]],1,2)</f>
        <v>VS</v>
      </c>
      <c r="T506" s="1" t="str">
        <f>MID(Table11[[#This Row],[Monthly plan / 月度计划]],4,4)</f>
        <v>0806</v>
      </c>
      <c r="U506" s="1" t="s">
        <v>311</v>
      </c>
      <c r="V506" t="s">
        <v>254</v>
      </c>
      <c r="W506">
        <v>40</v>
      </c>
      <c r="X506" s="1" t="s">
        <v>280</v>
      </c>
      <c r="Y506" t="b">
        <v>1</v>
      </c>
    </row>
    <row r="507" spans="17:25" x14ac:dyDescent="0.3">
      <c r="Q507" t="s">
        <v>301</v>
      </c>
      <c r="R507" t="s">
        <v>8</v>
      </c>
      <c r="S507" s="1" t="str">
        <f>MID(Table11[[#This Row],[Monthly plan / 月度计划]],1,2)</f>
        <v>VS</v>
      </c>
      <c r="T507" s="1" t="str">
        <f>MID(Table11[[#This Row],[Monthly plan / 月度计划]],4,4)</f>
        <v>0946</v>
      </c>
      <c r="U507" s="1" t="s">
        <v>64</v>
      </c>
      <c r="V507" t="s">
        <v>253</v>
      </c>
      <c r="W507">
        <v>30</v>
      </c>
      <c r="X507" s="1" t="s">
        <v>291</v>
      </c>
      <c r="Y507" t="b">
        <v>1</v>
      </c>
    </row>
    <row r="508" spans="17:25" x14ac:dyDescent="0.3">
      <c r="Q508" t="s">
        <v>301</v>
      </c>
      <c r="R508" t="s">
        <v>8</v>
      </c>
      <c r="S508" s="1" t="str">
        <f>MID(Table11[[#This Row],[Monthly plan / 月度计划]],1,2)</f>
        <v>VS</v>
      </c>
      <c r="T508" s="1" t="str">
        <f>MID(Table11[[#This Row],[Monthly plan / 月度计划]],4,4)</f>
        <v>0866</v>
      </c>
      <c r="U508" s="1" t="s">
        <v>59</v>
      </c>
      <c r="V508" t="s">
        <v>253</v>
      </c>
      <c r="W508">
        <v>25</v>
      </c>
      <c r="X508" s="1" t="s">
        <v>291</v>
      </c>
      <c r="Y508" t="b">
        <v>1</v>
      </c>
    </row>
    <row r="509" spans="17:25" x14ac:dyDescent="0.3">
      <c r="Q509" t="s">
        <v>301</v>
      </c>
      <c r="R509" t="s">
        <v>8</v>
      </c>
      <c r="S509" s="1" t="str">
        <f>MID(Table11[[#This Row],[Monthly plan / 月度计划]],1,2)</f>
        <v>VS</v>
      </c>
      <c r="T509" s="1" t="str">
        <f>MID(Table11[[#This Row],[Monthly plan / 月度计划]],4,4)</f>
        <v>0855</v>
      </c>
      <c r="U509" s="1" t="s">
        <v>208</v>
      </c>
      <c r="V509" t="s">
        <v>254</v>
      </c>
      <c r="W509">
        <v>25</v>
      </c>
      <c r="X509" s="1" t="s">
        <v>282</v>
      </c>
      <c r="Y509" t="b">
        <v>1</v>
      </c>
    </row>
    <row r="510" spans="17:25" x14ac:dyDescent="0.3">
      <c r="Q510" t="s">
        <v>301</v>
      </c>
      <c r="R510" t="s">
        <v>8</v>
      </c>
      <c r="S510" s="1" t="str">
        <f>MID(Table11[[#This Row],[Monthly plan / 月度计划]],1,2)</f>
        <v>VS</v>
      </c>
      <c r="T510" s="1" t="str">
        <f>MID(Table11[[#This Row],[Monthly plan / 月度计划]],4,4)</f>
        <v>0855</v>
      </c>
      <c r="U510" s="1" t="s">
        <v>228</v>
      </c>
      <c r="V510" t="s">
        <v>254</v>
      </c>
      <c r="W510">
        <v>5</v>
      </c>
      <c r="X510" s="1" t="s">
        <v>282</v>
      </c>
      <c r="Y510" t="b">
        <v>1</v>
      </c>
    </row>
    <row r="511" spans="17:25" x14ac:dyDescent="0.3">
      <c r="Q511" t="s">
        <v>301</v>
      </c>
      <c r="R511" t="s">
        <v>8</v>
      </c>
      <c r="S511" s="1" t="str">
        <f>MID(Table11[[#This Row],[Monthly plan / 月度计划]],1,2)</f>
        <v>VS</v>
      </c>
      <c r="T511" s="1" t="str">
        <f>MID(Table11[[#This Row],[Monthly plan / 月度计划]],4,4)</f>
        <v>0846</v>
      </c>
      <c r="U511" s="1" t="s">
        <v>56</v>
      </c>
      <c r="V511" t="s">
        <v>253</v>
      </c>
      <c r="W511">
        <v>20</v>
      </c>
      <c r="X511" s="1" t="s">
        <v>291</v>
      </c>
      <c r="Y511" t="b">
        <v>1</v>
      </c>
    </row>
    <row r="512" spans="17:25" x14ac:dyDescent="0.3">
      <c r="Q512" t="s">
        <v>301</v>
      </c>
      <c r="R512" t="s">
        <v>8</v>
      </c>
      <c r="S512" s="1" t="str">
        <f>MID(Table11[[#This Row],[Monthly plan / 月度计划]],1,2)</f>
        <v>VS</v>
      </c>
      <c r="T512" s="1" t="str">
        <f>MID(Table11[[#This Row],[Monthly plan / 月度计划]],4,4)</f>
        <v>0836</v>
      </c>
      <c r="U512" s="1" t="s">
        <v>206</v>
      </c>
      <c r="V512" t="s">
        <v>253</v>
      </c>
      <c r="W512">
        <v>20</v>
      </c>
      <c r="X512" s="1" t="s">
        <v>279</v>
      </c>
      <c r="Y512" t="b">
        <v>1</v>
      </c>
    </row>
    <row r="513" spans="17:28" x14ac:dyDescent="0.3">
      <c r="Q513" t="s">
        <v>301</v>
      </c>
      <c r="R513" t="s">
        <v>8</v>
      </c>
      <c r="S513" s="1" t="str">
        <f>MID(Table11[[#This Row],[Monthly plan / 月度计划]],1,2)</f>
        <v>VS</v>
      </c>
      <c r="T513" s="1" t="str">
        <f>MID(Table11[[#This Row],[Monthly plan / 月度计划]],4,4)</f>
        <v>0826</v>
      </c>
      <c r="U513" s="1" t="s">
        <v>312</v>
      </c>
      <c r="V513" t="s">
        <v>253</v>
      </c>
      <c r="W513">
        <v>10</v>
      </c>
      <c r="X513" s="1" t="s">
        <v>291</v>
      </c>
      <c r="Y513" t="b">
        <v>1</v>
      </c>
    </row>
    <row r="514" spans="17:28" x14ac:dyDescent="0.3">
      <c r="Q514" t="s">
        <v>301</v>
      </c>
      <c r="R514" t="s">
        <v>3</v>
      </c>
      <c r="S514" s="1" t="str">
        <f>MID(Table11[[#This Row],[Monthly plan / 月度计划]],1,2)</f>
        <v>YR</v>
      </c>
      <c r="T514" s="1" t="str">
        <f>MID(Table11[[#This Row],[Monthly plan / 月度计划]],4,4)</f>
        <v>0906</v>
      </c>
      <c r="U514" s="1" t="s">
        <v>313</v>
      </c>
      <c r="V514" t="s">
        <v>252</v>
      </c>
      <c r="W514">
        <v>20</v>
      </c>
      <c r="X514" s="1" t="s">
        <v>272</v>
      </c>
      <c r="Y514" t="b">
        <v>1</v>
      </c>
    </row>
    <row r="515" spans="17:28" x14ac:dyDescent="0.3">
      <c r="Q515" t="s">
        <v>301</v>
      </c>
      <c r="R515" t="s">
        <v>3</v>
      </c>
      <c r="S515" s="1" t="str">
        <f>MID(Table11[[#This Row],[Monthly plan / 月度计划]],1,2)</f>
        <v>YR</v>
      </c>
      <c r="T515" s="1" t="str">
        <f>MID(Table11[[#This Row],[Monthly plan / 月度计划]],4,4)</f>
        <v>0986</v>
      </c>
      <c r="U515" s="1" t="s">
        <v>36</v>
      </c>
      <c r="V515" t="s">
        <v>252</v>
      </c>
      <c r="W515">
        <v>30</v>
      </c>
      <c r="X515" s="1" t="s">
        <v>272</v>
      </c>
      <c r="Y515" t="b">
        <v>1</v>
      </c>
    </row>
    <row r="516" spans="17:28" x14ac:dyDescent="0.3">
      <c r="Q516" t="s">
        <v>301</v>
      </c>
      <c r="R516" t="s">
        <v>3</v>
      </c>
      <c r="S516" s="1" t="str">
        <f>MID(Table11[[#This Row],[Monthly plan / 月度计划]],1,2)</f>
        <v>YR</v>
      </c>
      <c r="T516" s="1" t="str">
        <f>MID(Table11[[#This Row],[Monthly plan / 月度计划]],4,4)</f>
        <v>0946</v>
      </c>
      <c r="U516" s="1" t="s">
        <v>32</v>
      </c>
      <c r="V516" t="s">
        <v>252</v>
      </c>
      <c r="W516">
        <v>20</v>
      </c>
      <c r="X516" s="1" t="s">
        <v>272</v>
      </c>
      <c r="Y516" t="b">
        <v>1</v>
      </c>
    </row>
    <row r="517" spans="17:28" x14ac:dyDescent="0.3">
      <c r="Q517" t="s">
        <v>301</v>
      </c>
      <c r="R517" t="s">
        <v>3</v>
      </c>
      <c r="S517" s="1" t="str">
        <f>MID(Table11[[#This Row],[Monthly plan / 月度计划]],1,2)</f>
        <v>YR</v>
      </c>
      <c r="T517" s="1" t="str">
        <f>MID(Table11[[#This Row],[Monthly plan / 月度计划]],4,4)</f>
        <v>0946</v>
      </c>
      <c r="U517" s="1" t="s">
        <v>73</v>
      </c>
      <c r="V517" t="s">
        <v>252</v>
      </c>
      <c r="W517">
        <v>20</v>
      </c>
      <c r="X517" s="1" t="s">
        <v>272</v>
      </c>
      <c r="Y517" t="b">
        <v>1</v>
      </c>
    </row>
    <row r="518" spans="17:28" x14ac:dyDescent="0.3">
      <c r="Q518" t="s">
        <v>301</v>
      </c>
      <c r="R518" t="s">
        <v>3</v>
      </c>
      <c r="S518" s="1" t="str">
        <f>MID(Table11[[#This Row],[Monthly plan / 月度计划]],1,2)</f>
        <v>YR</v>
      </c>
      <c r="T518" s="1" t="str">
        <f>MID(Table11[[#This Row],[Monthly plan / 月度计划]],4,4)</f>
        <v>0906</v>
      </c>
      <c r="U518" s="1" t="s">
        <v>211</v>
      </c>
      <c r="V518" t="s">
        <v>252</v>
      </c>
      <c r="W518">
        <v>40</v>
      </c>
      <c r="X518" s="1" t="s">
        <v>272</v>
      </c>
      <c r="Y518" t="b">
        <v>1</v>
      </c>
    </row>
    <row r="519" spans="17:28" x14ac:dyDescent="0.3">
      <c r="Q519" t="s">
        <v>301</v>
      </c>
      <c r="R519" t="s">
        <v>3</v>
      </c>
      <c r="S519" s="1" t="str">
        <f>MID(Table11[[#This Row],[Monthly plan / 月度计划]],1,2)</f>
        <v>YR</v>
      </c>
      <c r="T519" s="1" t="str">
        <f>MID(Table11[[#This Row],[Monthly plan / 月度计划]],4,4)</f>
        <v>0906</v>
      </c>
      <c r="U519" s="1" t="s">
        <v>212</v>
      </c>
      <c r="V519" t="s">
        <v>252</v>
      </c>
      <c r="W519">
        <v>20</v>
      </c>
      <c r="X519" s="1" t="s">
        <v>272</v>
      </c>
      <c r="Y519" t="b">
        <v>1</v>
      </c>
    </row>
    <row r="520" spans="17:28" x14ac:dyDescent="0.3">
      <c r="Q520" t="s">
        <v>301</v>
      </c>
      <c r="R520" t="s">
        <v>3</v>
      </c>
      <c r="S520" s="1" t="str">
        <f>MID(Table11[[#This Row],[Monthly plan / 月度计划]],1,2)</f>
        <v>YR</v>
      </c>
      <c r="T520" s="1" t="str">
        <f>MID(Table11[[#This Row],[Monthly plan / 月度计划]],4,4)</f>
        <v>0906</v>
      </c>
      <c r="U520" s="1" t="s">
        <v>213</v>
      </c>
      <c r="V520" t="s">
        <v>252</v>
      </c>
      <c r="W520">
        <v>40</v>
      </c>
      <c r="X520" s="1" t="s">
        <v>272</v>
      </c>
      <c r="Y520" t="b">
        <v>1</v>
      </c>
    </row>
    <row r="521" spans="17:28" x14ac:dyDescent="0.3">
      <c r="Q521" t="s">
        <v>301</v>
      </c>
      <c r="R521" t="s">
        <v>3</v>
      </c>
      <c r="S521" s="1" t="str">
        <f>MID(Table11[[#This Row],[Monthly plan / 月度计划]],1,2)</f>
        <v>YR</v>
      </c>
      <c r="T521" s="1" t="str">
        <f>MID(Table11[[#This Row],[Monthly plan / 月度计划]],4,4)</f>
        <v>0906</v>
      </c>
      <c r="U521" s="1" t="s">
        <v>314</v>
      </c>
      <c r="V521" t="s">
        <v>252</v>
      </c>
      <c r="W521">
        <v>20</v>
      </c>
      <c r="X521" s="1" t="s">
        <v>272</v>
      </c>
      <c r="Y521" t="b">
        <v>1</v>
      </c>
    </row>
    <row r="522" spans="17:28" x14ac:dyDescent="0.3">
      <c r="Q522" t="s">
        <v>301</v>
      </c>
      <c r="R522" t="s">
        <v>3</v>
      </c>
      <c r="S522" s="1" t="str">
        <f>MID(Table11[[#This Row],[Monthly plan / 月度计划]],1,2)</f>
        <v>YR</v>
      </c>
      <c r="T522" s="1" t="str">
        <f>MID(Table11[[#This Row],[Monthly plan / 月度计划]],4,4)</f>
        <v>0886</v>
      </c>
      <c r="U522" s="1" t="s">
        <v>315</v>
      </c>
      <c r="V522" t="s">
        <v>252</v>
      </c>
      <c r="W522">
        <v>20</v>
      </c>
      <c r="X522" s="1" t="s">
        <v>272</v>
      </c>
      <c r="Y522" t="b">
        <v>1</v>
      </c>
    </row>
    <row r="523" spans="17:28" x14ac:dyDescent="0.3">
      <c r="Q523" t="s">
        <v>301</v>
      </c>
      <c r="R523" t="s">
        <v>3</v>
      </c>
      <c r="S523" s="1" t="str">
        <f>MID(Table11[[#This Row],[Monthly plan / 月度计划]],1,2)</f>
        <v>YR</v>
      </c>
      <c r="T523" s="1" t="str">
        <f>MID(Table11[[#This Row],[Monthly plan / 月度计划]],4,4)</f>
        <v>0886</v>
      </c>
      <c r="U523" s="1" t="s">
        <v>316</v>
      </c>
      <c r="V523" t="s">
        <v>252</v>
      </c>
      <c r="W523">
        <v>30</v>
      </c>
      <c r="X523" s="1" t="s">
        <v>272</v>
      </c>
      <c r="Y523" t="b">
        <v>1</v>
      </c>
    </row>
    <row r="524" spans="17:28" x14ac:dyDescent="0.3">
      <c r="Q524" t="s">
        <v>301</v>
      </c>
      <c r="R524" t="s">
        <v>3</v>
      </c>
      <c r="S524" s="1" t="str">
        <f>MID(Table11[[#This Row],[Monthly plan / 月度计划]],1,2)</f>
        <v>VS</v>
      </c>
      <c r="T524" s="1" t="str">
        <f>MID(Table11[[#This Row],[Monthly plan / 月度计划]],4,4)</f>
        <v>0865</v>
      </c>
      <c r="U524" s="1" t="s">
        <v>229</v>
      </c>
      <c r="V524" t="s">
        <v>252</v>
      </c>
      <c r="W524">
        <v>70</v>
      </c>
      <c r="X524" s="1" t="s">
        <v>272</v>
      </c>
      <c r="Y524" t="b">
        <v>1</v>
      </c>
    </row>
    <row r="525" spans="17:28" x14ac:dyDescent="0.3">
      <c r="Q525" t="s">
        <v>301</v>
      </c>
      <c r="R525" t="s">
        <v>3</v>
      </c>
      <c r="S525" s="1" t="str">
        <f>MID(Table11[[#This Row],[Monthly plan / 月度计划]],1,2)</f>
        <v>VS</v>
      </c>
      <c r="T525" s="1" t="str">
        <f>MID(Table11[[#This Row],[Monthly plan / 月度计划]],4,4)</f>
        <v>0865</v>
      </c>
      <c r="U525" s="1" t="s">
        <v>230</v>
      </c>
      <c r="V525" t="s">
        <v>252</v>
      </c>
      <c r="W525">
        <v>70</v>
      </c>
      <c r="X525" s="1" t="s">
        <v>272</v>
      </c>
      <c r="Y525" t="b">
        <v>1</v>
      </c>
      <c r="AB525" s="16"/>
    </row>
    <row r="526" spans="17:28" x14ac:dyDescent="0.3">
      <c r="Q526" t="s">
        <v>301</v>
      </c>
      <c r="R526" t="s">
        <v>3</v>
      </c>
      <c r="S526" s="1" t="str">
        <f>MID(Table11[[#This Row],[Monthly plan / 月度计划]],1,2)</f>
        <v>VS</v>
      </c>
      <c r="T526" s="1" t="str">
        <f>MID(Table11[[#This Row],[Monthly plan / 月度计划]],4,4)</f>
        <v>0905</v>
      </c>
      <c r="U526" s="1" t="s">
        <v>19</v>
      </c>
      <c r="V526" t="s">
        <v>252</v>
      </c>
      <c r="W526">
        <v>20</v>
      </c>
      <c r="X526" s="1" t="s">
        <v>272</v>
      </c>
      <c r="Y526" t="b">
        <v>1</v>
      </c>
      <c r="AB526" s="16"/>
    </row>
    <row r="527" spans="17:28" x14ac:dyDescent="0.3">
      <c r="Q527" t="s">
        <v>301</v>
      </c>
      <c r="R527" t="s">
        <v>3</v>
      </c>
      <c r="S527" s="1" t="str">
        <f>MID(Table11[[#This Row],[Monthly plan / 月度计划]],1,2)</f>
        <v>VS</v>
      </c>
      <c r="T527" s="1" t="str">
        <f>MID(Table11[[#This Row],[Monthly plan / 月度计划]],4,4)</f>
        <v>0885</v>
      </c>
      <c r="U527" s="1" t="s">
        <v>317</v>
      </c>
      <c r="V527" t="s">
        <v>252</v>
      </c>
      <c r="W527">
        <v>60</v>
      </c>
      <c r="X527" s="1" t="s">
        <v>272</v>
      </c>
      <c r="Y527" t="b">
        <v>1</v>
      </c>
      <c r="AB527" s="16"/>
    </row>
    <row r="528" spans="17:28" x14ac:dyDescent="0.3">
      <c r="Q528" t="s">
        <v>301</v>
      </c>
      <c r="R528" t="s">
        <v>3</v>
      </c>
      <c r="S528" s="1" t="str">
        <f>MID(Table11[[#This Row],[Monthly plan / 月度计划]],1,2)</f>
        <v>VS</v>
      </c>
      <c r="T528" s="1" t="str">
        <f>MID(Table11[[#This Row],[Monthly plan / 月度计划]],4,4)</f>
        <v>0905</v>
      </c>
      <c r="U528" s="1" t="s">
        <v>15</v>
      </c>
      <c r="V528" t="s">
        <v>252</v>
      </c>
      <c r="W528">
        <v>30</v>
      </c>
      <c r="X528" s="1" t="s">
        <v>272</v>
      </c>
      <c r="Y528" t="b">
        <v>1</v>
      </c>
      <c r="AB528" s="16"/>
    </row>
    <row r="529" spans="17:28" x14ac:dyDescent="0.3">
      <c r="Q529" t="s">
        <v>301</v>
      </c>
      <c r="R529" t="s">
        <v>3</v>
      </c>
      <c r="S529" s="1" t="str">
        <f>MID(Table11[[#This Row],[Monthly plan / 月度计划]],1,2)</f>
        <v>VS</v>
      </c>
      <c r="T529" s="1" t="str">
        <f>MID(Table11[[#This Row],[Monthly plan / 月度计划]],4,4)</f>
        <v>0905</v>
      </c>
      <c r="U529" s="1" t="s">
        <v>14</v>
      </c>
      <c r="V529" t="s">
        <v>252</v>
      </c>
      <c r="W529">
        <v>30</v>
      </c>
      <c r="X529" s="1" t="s">
        <v>272</v>
      </c>
      <c r="Y529" t="b">
        <v>1</v>
      </c>
      <c r="AB529" s="16"/>
    </row>
    <row r="530" spans="17:28" x14ac:dyDescent="0.3">
      <c r="Q530" t="s">
        <v>301</v>
      </c>
      <c r="R530" t="s">
        <v>3</v>
      </c>
      <c r="S530" s="1" t="str">
        <f>MID(Table11[[#This Row],[Monthly plan / 月度计划]],1,2)</f>
        <v>VS</v>
      </c>
      <c r="T530" s="1" t="str">
        <f>MID(Table11[[#This Row],[Monthly plan / 月度计划]],4,4)</f>
        <v>0885</v>
      </c>
      <c r="U530" s="1" t="s">
        <v>24</v>
      </c>
      <c r="V530" t="s">
        <v>252</v>
      </c>
      <c r="W530">
        <v>60</v>
      </c>
      <c r="X530" s="1" t="s">
        <v>272</v>
      </c>
      <c r="Y530" t="b">
        <v>1</v>
      </c>
      <c r="AB530" s="16"/>
    </row>
    <row r="531" spans="17:28" x14ac:dyDescent="0.3">
      <c r="Q531" t="s">
        <v>301</v>
      </c>
      <c r="R531" t="s">
        <v>3</v>
      </c>
      <c r="S531" s="1" t="str">
        <f>MID(Table11[[#This Row],[Monthly plan / 月度计划]],1,2)</f>
        <v>YR</v>
      </c>
      <c r="T531" s="1" t="str">
        <f>MID(Table11[[#This Row],[Monthly plan / 月度计划]],4,4)</f>
        <v>0846</v>
      </c>
      <c r="U531" s="1" t="s">
        <v>318</v>
      </c>
      <c r="V531" t="s">
        <v>254</v>
      </c>
      <c r="W531">
        <v>15</v>
      </c>
      <c r="X531" s="1" t="s">
        <v>276</v>
      </c>
      <c r="Y531" t="b">
        <v>1</v>
      </c>
      <c r="AB531" s="16"/>
    </row>
    <row r="532" spans="17:28" x14ac:dyDescent="0.3">
      <c r="Q532" t="s">
        <v>301</v>
      </c>
      <c r="R532" t="s">
        <v>3</v>
      </c>
      <c r="S532" s="1" t="str">
        <f>MID(Table11[[#This Row],[Monthly plan / 月度计划]],1,2)</f>
        <v>YR</v>
      </c>
      <c r="T532" s="1" t="str">
        <f>MID(Table11[[#This Row],[Monthly plan / 月度计划]],4,4)</f>
        <v>0826</v>
      </c>
      <c r="U532" s="1" t="s">
        <v>319</v>
      </c>
      <c r="V532" t="s">
        <v>254</v>
      </c>
      <c r="W532">
        <v>50</v>
      </c>
      <c r="X532" s="1" t="s">
        <v>280</v>
      </c>
      <c r="Y532" t="b">
        <v>1</v>
      </c>
      <c r="AB532" s="16"/>
    </row>
    <row r="533" spans="17:28" x14ac:dyDescent="0.3">
      <c r="Q533" t="s">
        <v>301</v>
      </c>
      <c r="R533" t="s">
        <v>3</v>
      </c>
      <c r="S533" s="1" t="str">
        <f>MID(Table11[[#This Row],[Monthly plan / 月度计划]],1,2)</f>
        <v>YR</v>
      </c>
      <c r="T533" s="1" t="str">
        <f>MID(Table11[[#This Row],[Monthly plan / 月度计划]],4,4)</f>
        <v>0886</v>
      </c>
      <c r="U533" s="1" t="s">
        <v>214</v>
      </c>
      <c r="V533" t="s">
        <v>253</v>
      </c>
      <c r="W533">
        <v>30</v>
      </c>
      <c r="X533" s="1" t="s">
        <v>291</v>
      </c>
      <c r="Y533" t="b">
        <v>1</v>
      </c>
      <c r="AB533" s="16"/>
    </row>
    <row r="534" spans="17:28" x14ac:dyDescent="0.3">
      <c r="Q534" t="s">
        <v>301</v>
      </c>
      <c r="R534" t="s">
        <v>3</v>
      </c>
      <c r="S534" s="1" t="str">
        <f>MID(Table11[[#This Row],[Monthly plan / 月度计划]],1,2)</f>
        <v>YR</v>
      </c>
      <c r="T534" s="1" t="str">
        <f>MID(Table11[[#This Row],[Monthly plan / 月度计划]],4,4)</f>
        <v>0866</v>
      </c>
      <c r="U534" s="1" t="s">
        <v>232</v>
      </c>
      <c r="V534" t="s">
        <v>254</v>
      </c>
      <c r="W534">
        <v>20</v>
      </c>
      <c r="X534" s="1" t="s">
        <v>279</v>
      </c>
      <c r="Y534" t="b">
        <v>1</v>
      </c>
      <c r="AB534" s="16"/>
    </row>
    <row r="535" spans="17:28" x14ac:dyDescent="0.3">
      <c r="Q535" t="s">
        <v>301</v>
      </c>
      <c r="R535" t="s">
        <v>3</v>
      </c>
      <c r="S535" s="1" t="str">
        <f>MID(Table11[[#This Row],[Monthly plan / 月度计划]],1,2)</f>
        <v>YR</v>
      </c>
      <c r="T535" s="1" t="str">
        <f>MID(Table11[[#This Row],[Monthly plan / 月度计划]],4,4)</f>
        <v>0866</v>
      </c>
      <c r="U535" s="1" t="s">
        <v>320</v>
      </c>
      <c r="V535" t="s">
        <v>253</v>
      </c>
      <c r="W535">
        <v>10</v>
      </c>
      <c r="X535" s="1" t="s">
        <v>291</v>
      </c>
      <c r="Y535" t="b">
        <v>1</v>
      </c>
      <c r="AB535" s="16"/>
    </row>
    <row r="536" spans="17:28" x14ac:dyDescent="0.3">
      <c r="Q536" t="s">
        <v>301</v>
      </c>
      <c r="R536" t="s">
        <v>3</v>
      </c>
      <c r="S536" s="1" t="str">
        <f>MID(Table11[[#This Row],[Monthly plan / 月度计划]],1,2)</f>
        <v>YR</v>
      </c>
      <c r="T536" s="1" t="str">
        <f>MID(Table11[[#This Row],[Monthly plan / 月度计划]],4,4)</f>
        <v>0866</v>
      </c>
      <c r="U536" s="1" t="s">
        <v>249</v>
      </c>
      <c r="V536" t="s">
        <v>256</v>
      </c>
      <c r="W536">
        <v>6</v>
      </c>
      <c r="X536" s="1" t="s">
        <v>292</v>
      </c>
      <c r="Y536" t="b">
        <v>1</v>
      </c>
      <c r="AB536" s="16"/>
    </row>
    <row r="537" spans="17:28" x14ac:dyDescent="0.3">
      <c r="Q537" t="s">
        <v>301</v>
      </c>
      <c r="R537" t="s">
        <v>3</v>
      </c>
      <c r="S537" s="1" t="str">
        <f>MID(Table11[[#This Row],[Monthly plan / 月度计划]],1,2)</f>
        <v>VS</v>
      </c>
      <c r="T537" s="1" t="str">
        <f>MID(Table11[[#This Row],[Monthly plan / 月度计划]],4,4)</f>
        <v>0905</v>
      </c>
      <c r="U537" s="1" t="s">
        <v>321</v>
      </c>
      <c r="V537" t="s">
        <v>253</v>
      </c>
      <c r="W537">
        <v>25</v>
      </c>
      <c r="X537" s="1" t="s">
        <v>326</v>
      </c>
      <c r="Y537" t="b">
        <v>1</v>
      </c>
      <c r="AB537" s="16"/>
    </row>
    <row r="538" spans="17:28" x14ac:dyDescent="0.3">
      <c r="Q538" t="s">
        <v>301</v>
      </c>
      <c r="R538" t="s">
        <v>3</v>
      </c>
      <c r="S538" s="1" t="str">
        <f>MID(Table11[[#This Row],[Monthly plan / 月度计划]],1,2)</f>
        <v>VS</v>
      </c>
      <c r="T538" s="1" t="str">
        <f>MID(Table11[[#This Row],[Monthly plan / 月度计划]],4,4)</f>
        <v>0855</v>
      </c>
      <c r="U538" s="1" t="s">
        <v>251</v>
      </c>
      <c r="V538" t="s">
        <v>254</v>
      </c>
      <c r="W538">
        <v>15</v>
      </c>
      <c r="X538" s="1" t="s">
        <v>276</v>
      </c>
      <c r="Y538" t="b">
        <v>1</v>
      </c>
      <c r="AB538" s="16"/>
    </row>
    <row r="539" spans="17:28" x14ac:dyDescent="0.3">
      <c r="Q539" t="s">
        <v>301</v>
      </c>
      <c r="R539" t="s">
        <v>3</v>
      </c>
      <c r="S539" s="1" t="str">
        <f>MID(Table11[[#This Row],[Monthly plan / 月度计划]],1,2)</f>
        <v>VS</v>
      </c>
      <c r="T539" s="1" t="str">
        <f>MID(Table11[[#This Row],[Monthly plan / 月度计划]],4,4)</f>
        <v>0845</v>
      </c>
      <c r="U539" s="1" t="s">
        <v>322</v>
      </c>
      <c r="V539" t="s">
        <v>253</v>
      </c>
      <c r="W539">
        <v>20</v>
      </c>
      <c r="X539" s="1" t="s">
        <v>293</v>
      </c>
      <c r="Y539" t="b">
        <v>1</v>
      </c>
      <c r="AB539" s="16"/>
    </row>
    <row r="540" spans="17:28" x14ac:dyDescent="0.3">
      <c r="Q540" t="s">
        <v>301</v>
      </c>
      <c r="R540" t="s">
        <v>3</v>
      </c>
      <c r="S540" s="1" t="str">
        <f>MID(Table11[[#This Row],[Monthly plan / 月度计划]],1,2)</f>
        <v>VS</v>
      </c>
      <c r="T540" s="1" t="str">
        <f>MID(Table11[[#This Row],[Monthly plan / 月度计划]],4,4)</f>
        <v>0845</v>
      </c>
      <c r="U540" s="1" t="s">
        <v>323</v>
      </c>
      <c r="V540" t="s">
        <v>253</v>
      </c>
      <c r="W540">
        <v>50</v>
      </c>
      <c r="X540" s="1" t="s">
        <v>291</v>
      </c>
      <c r="Y540" t="b">
        <v>1</v>
      </c>
    </row>
    <row r="541" spans="17:28" x14ac:dyDescent="0.3">
      <c r="Q541" t="s">
        <v>301</v>
      </c>
      <c r="R541" t="s">
        <v>3</v>
      </c>
      <c r="S541" s="1" t="str">
        <f>MID(Table11[[#This Row],[Monthly plan / 月度计划]],1,2)</f>
        <v>VS</v>
      </c>
      <c r="T541" s="1" t="str">
        <f>MID(Table11[[#This Row],[Monthly plan / 月度计划]],4,4)</f>
        <v>0825</v>
      </c>
      <c r="U541" s="1" t="s">
        <v>324</v>
      </c>
      <c r="V541" t="s">
        <v>254</v>
      </c>
      <c r="W541">
        <v>40</v>
      </c>
      <c r="X541" s="1" t="s">
        <v>280</v>
      </c>
      <c r="Y541" t="b">
        <v>1</v>
      </c>
    </row>
    <row r="542" spans="17:28" x14ac:dyDescent="0.3">
      <c r="Q542" t="s">
        <v>301</v>
      </c>
      <c r="R542" t="s">
        <v>3</v>
      </c>
      <c r="S542" s="1" t="str">
        <f>MID(Table11[[#This Row],[Monthly plan / 月度计划]],1,2)</f>
        <v>VS</v>
      </c>
      <c r="T542" s="1" t="str">
        <f>MID(Table11[[#This Row],[Monthly plan / 月度计划]],4,4)</f>
        <v>0855</v>
      </c>
      <c r="U542" s="1" t="s">
        <v>325</v>
      </c>
      <c r="V542" t="s">
        <v>256</v>
      </c>
      <c r="W542">
        <v>18</v>
      </c>
      <c r="X542" s="1" t="s">
        <v>292</v>
      </c>
      <c r="Y542" t="b">
        <v>1</v>
      </c>
    </row>
    <row r="543" spans="17:28" x14ac:dyDescent="0.3">
      <c r="Q543" t="s">
        <v>301</v>
      </c>
      <c r="R543" t="s">
        <v>3</v>
      </c>
      <c r="S543" s="1" t="str">
        <f>MID(Table11[[#This Row],[Monthly plan / 月度计划]],1,2)</f>
        <v>VS</v>
      </c>
      <c r="T543" s="1" t="str">
        <f>MID(Table11[[#This Row],[Monthly plan / 月度计划]],4,4)</f>
        <v>0885</v>
      </c>
      <c r="U543" s="1" t="s">
        <v>26</v>
      </c>
      <c r="V543" t="s">
        <v>253</v>
      </c>
      <c r="W543">
        <v>50</v>
      </c>
      <c r="X543" s="1" t="s">
        <v>291</v>
      </c>
      <c r="Y543" t="b">
        <v>1</v>
      </c>
    </row>
    <row r="544" spans="17:28" x14ac:dyDescent="0.3">
      <c r="Q544" t="s">
        <v>301</v>
      </c>
      <c r="R544" t="s">
        <v>3</v>
      </c>
      <c r="S544" s="1" t="str">
        <f>MID(Table11[[#This Row],[Monthly plan / 月度计划]],1,2)</f>
        <v>VS</v>
      </c>
      <c r="T544" s="1" t="str">
        <f>MID(Table11[[#This Row],[Monthly plan / 月度计划]],4,4)</f>
        <v>0865</v>
      </c>
      <c r="U544" s="1" t="s">
        <v>22</v>
      </c>
      <c r="V544" t="s">
        <v>253</v>
      </c>
      <c r="W544">
        <v>25</v>
      </c>
      <c r="X544" s="1" t="s">
        <v>291</v>
      </c>
      <c r="Y544" t="b">
        <v>1</v>
      </c>
    </row>
    <row r="545" spans="17:28" x14ac:dyDescent="0.3">
      <c r="Q545" t="s">
        <v>301</v>
      </c>
      <c r="R545" t="s">
        <v>329</v>
      </c>
      <c r="S545" s="1" t="str">
        <f>MID(Table11[[#This Row],[Monthly plan / 月度计划]],1,2)</f>
        <v>VS</v>
      </c>
      <c r="T545" s="1" t="str">
        <f>MID(Table11[[#This Row],[Monthly plan / 月度计划]],4,4)</f>
        <v>1215</v>
      </c>
      <c r="U545" s="1" t="s">
        <v>342</v>
      </c>
      <c r="V545" t="s">
        <v>252</v>
      </c>
      <c r="X545" s="1" t="s">
        <v>272</v>
      </c>
      <c r="Y545" t="b">
        <v>1</v>
      </c>
    </row>
    <row r="546" spans="17:28" x14ac:dyDescent="0.3">
      <c r="Q546" t="s">
        <v>301</v>
      </c>
      <c r="R546" t="s">
        <v>329</v>
      </c>
      <c r="S546" s="1" t="str">
        <f>MID(Table11[[#This Row],[Monthly plan / 月度计划]],1,2)</f>
        <v>VS</v>
      </c>
      <c r="T546" s="1" t="str">
        <f>MID(Table11[[#This Row],[Monthly plan / 月度计划]],4,4)</f>
        <v>1215</v>
      </c>
      <c r="U546" s="1" t="s">
        <v>343</v>
      </c>
      <c r="V546" t="s">
        <v>252</v>
      </c>
      <c r="X546" s="1" t="s">
        <v>272</v>
      </c>
      <c r="Y546" t="b">
        <v>1</v>
      </c>
    </row>
    <row r="547" spans="17:28" x14ac:dyDescent="0.3">
      <c r="Q547" t="s">
        <v>301</v>
      </c>
      <c r="R547" t="s">
        <v>329</v>
      </c>
      <c r="S547" s="1" t="str">
        <f>MID(Table11[[#This Row],[Monthly plan / 月度计划]],1,2)</f>
        <v>VS</v>
      </c>
      <c r="T547" s="1" t="str">
        <f>MID(Table11[[#This Row],[Monthly plan / 月度计划]],4,4)</f>
        <v>1000</v>
      </c>
      <c r="U547" s="1" t="s">
        <v>344</v>
      </c>
      <c r="V547" t="s">
        <v>252</v>
      </c>
      <c r="X547" s="1" t="s">
        <v>272</v>
      </c>
      <c r="Y547" t="b">
        <v>1</v>
      </c>
    </row>
    <row r="548" spans="17:28" x14ac:dyDescent="0.3">
      <c r="Q548" t="s">
        <v>301</v>
      </c>
      <c r="R548" t="s">
        <v>329</v>
      </c>
      <c r="S548" s="1" t="str">
        <f>MID(Table11[[#This Row],[Monthly plan / 月度计划]],1,2)</f>
        <v>VS</v>
      </c>
      <c r="T548" s="1" t="str">
        <f>MID(Table11[[#This Row],[Monthly plan / 月度计划]],4,4)</f>
        <v>0925</v>
      </c>
      <c r="U548" s="1" t="s">
        <v>345</v>
      </c>
      <c r="V548" t="s">
        <v>252</v>
      </c>
      <c r="X548" s="1" t="s">
        <v>272</v>
      </c>
      <c r="Y548" t="b">
        <v>1</v>
      </c>
    </row>
    <row r="549" spans="17:28" x14ac:dyDescent="0.3">
      <c r="Q549" t="s">
        <v>301</v>
      </c>
      <c r="R549" t="s">
        <v>329</v>
      </c>
      <c r="S549" s="1" t="str">
        <f>MID(Table11[[#This Row],[Monthly plan / 月度计划]],1,2)</f>
        <v>VS</v>
      </c>
      <c r="T549" s="1" t="str">
        <f>MID(Table11[[#This Row],[Monthly plan / 月度计划]],4,4)</f>
        <v>1270</v>
      </c>
      <c r="U549" s="1" t="s">
        <v>346</v>
      </c>
      <c r="V549" t="s">
        <v>253</v>
      </c>
      <c r="X549" s="1" t="s">
        <v>291</v>
      </c>
      <c r="Y549" t="b">
        <v>1</v>
      </c>
    </row>
    <row r="550" spans="17:28" x14ac:dyDescent="0.3">
      <c r="Q550" t="s">
        <v>301</v>
      </c>
      <c r="R550" t="s">
        <v>329</v>
      </c>
      <c r="S550" s="1" t="str">
        <f>MID(Table11[[#This Row],[Monthly plan / 月度计划]],1,2)</f>
        <v>VS</v>
      </c>
      <c r="T550" s="1" t="str">
        <f>MID(Table11[[#This Row],[Monthly plan / 月度计划]],4,4)</f>
        <v>1125</v>
      </c>
      <c r="U550" s="1" t="s">
        <v>347</v>
      </c>
      <c r="V550" t="s">
        <v>254</v>
      </c>
      <c r="X550" s="1" t="s">
        <v>280</v>
      </c>
      <c r="Y550" t="b">
        <v>1</v>
      </c>
    </row>
    <row r="558" spans="17:28" x14ac:dyDescent="0.3">
      <c r="AB558" s="16"/>
    </row>
    <row r="559" spans="17:28" x14ac:dyDescent="0.3">
      <c r="AB559" s="16"/>
    </row>
    <row r="560" spans="17:28" x14ac:dyDescent="0.3">
      <c r="AB560" s="16"/>
    </row>
    <row r="561" spans="28:28" x14ac:dyDescent="0.3">
      <c r="AB561" s="16"/>
    </row>
    <row r="562" spans="28:28" x14ac:dyDescent="0.3">
      <c r="AB562" s="16"/>
    </row>
    <row r="563" spans="28:28" x14ac:dyDescent="0.3">
      <c r="AB563" s="16"/>
    </row>
    <row r="564" spans="28:28" x14ac:dyDescent="0.3">
      <c r="AB564" s="16"/>
    </row>
    <row r="565" spans="28:28" x14ac:dyDescent="0.3">
      <c r="AB565" s="16"/>
    </row>
    <row r="566" spans="28:28" x14ac:dyDescent="0.3">
      <c r="AB566" s="16"/>
    </row>
    <row r="567" spans="28:28" x14ac:dyDescent="0.3">
      <c r="AB567" s="16"/>
    </row>
    <row r="568" spans="28:28" x14ac:dyDescent="0.3">
      <c r="AB568" s="16"/>
    </row>
    <row r="569" spans="28:28" x14ac:dyDescent="0.3">
      <c r="AB569" s="16"/>
    </row>
    <row r="570" spans="28:28" x14ac:dyDescent="0.3">
      <c r="AB570" s="16"/>
    </row>
    <row r="571" spans="28:28" x14ac:dyDescent="0.3">
      <c r="AB571" s="16"/>
    </row>
  </sheetData>
  <phoneticPr fontId="6" type="noConversion"/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Juan Camilo Tobon Sanchez</cp:lastModifiedBy>
  <dcterms:created xsi:type="dcterms:W3CDTF">2015-06-05T18:17:20Z</dcterms:created>
  <dcterms:modified xsi:type="dcterms:W3CDTF">2026-09-03T14:20:09Z</dcterms:modified>
</cp:coreProperties>
</file>